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f0b9dabc7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ac898acd6d438c"/>
    <x:sheet xmlns:r="http://schemas.openxmlformats.org/officeDocument/2006/relationships" name="Inputs" sheetId="2" r:id="Re8b49737a2d24cc5"/>
    <x:sheet xmlns:r="http://schemas.openxmlformats.org/officeDocument/2006/relationships" name="Scenarios" sheetId="3" r:id="Rca2f508f044d41a3"/>
    <x:sheet xmlns:r="http://schemas.openxmlformats.org/officeDocument/2006/relationships" name="Unit Economics" sheetId="4" r:id="Rb86f03e547e9436d"/>
    <x:sheet xmlns:r="http://schemas.openxmlformats.org/officeDocument/2006/relationships" name="Build Budget" sheetId="5" r:id="R2cd5eae9c8524e22"/>
    <x:sheet xmlns:r="http://schemas.openxmlformats.org/officeDocument/2006/relationships" name="Checks" sheetId="6" r:id="Rdf429027611a4b0c"/>
    <x:sheet xmlns:r="http://schemas.openxmlformats.org/officeDocument/2006/relationships" name="Sources" sheetId="7" r:id="Rd540595a943c42c1"/>
  </x:sheets>
</x:workbook>
</file>

<file path=xl/comments1.xml><?xml version="1.0" encoding="utf-8"?>
<x:comments xmlns:x="http://schemas.openxmlformats.org/spreadsheetml/2006/main">
  <x:authors>
    <x:author>tc={D15673C5-F13A-41DB-8161-4A495775A9CB}</x:author>
    <x:author>tc={DAAC84D4-1C73-4EFA-8A72-8D2DBD7A491D}</x:author>
    <x:author>tc={097B5676-B71E-42A6-B477-B8236D7F1BE5}</x:author>
    <x:author>tc={FE7D7342-BA27-4F8A-95F6-A800FB854203}</x:author>
    <x:author>tc={8104D0D5-83FE-492E-B097-C6E7868FE20A}</x:author>
    <x:author>tc={CE902B84-1D9E-41CA-9827-49E22ECAE40B}</x:author>
    <x:author>tc={E98587F5-B7BA-46A7-AE30-CEF76236D1A9}</x:author>
    <x:author>tc={A9FE60E0-4319-4A0E-9FF5-0EA1EE03D91E}</x:author>
    <x:author>tc={C8DE4AAA-24EC-46D7-ABD0-70DAE972C4CC}</x:author>
    <x:author>tc={404A9E36-5AC2-49C9-B791-0D53C7F9CBD9}</x:author>
    <x:author>tc={B6B08FA5-AA33-4973-BB72-B9C9C94E98DE}</x:author>
    <x:author>tc={DBB20C31-5AF0-442C-911F-C6761ED66E48}</x:author>
    <x:author>tc={67B42A98-FF3A-420C-A677-46B0EAFB8D11}</x:author>
    <x:author>tc={CE52D117-391C-4E80-9C72-4B00A87FD02D}</x:author>
    <x:author>tc={EA003C98-5A42-4E08-8C82-27664D8A28AB}</x:author>
    <x:author>tc={3AE7EA1C-4818-4C69-B138-06B8EC5C7540}</x:author>
    <x:author>tc={1C8DB2A7-59BB-49DD-884F-4CBF7A83D7EC}</x:author>
    <x:author>tc={26F7F0E1-D05E-4E80-88A4-E7448F9FDC3B}</x:author>
    <x:author>tc={469E0F68-B6C6-49EF-896D-D2B010A7E71C}</x:author>
    <x:author>tc={FB7A8BCD-AB0D-4F2B-BF36-240AC55F9FC8}</x:author>
    <x:author>tc={35493631-9CC4-4779-8297-A359DD0267C1}</x:author>
    <x:author>tc={DD927AE5-E39D-4A31-9307-CF7835B4C3E3}</x:author>
    <x:author>tc={CA687E9A-EFEF-4252-BE83-3F078257A0BD}</x:author>
    <x:author>tc={6820A030-7E60-4D1B-996C-B13A1E32EAC2}</x:author>
    <x:author>tc={30934E3F-B394-4DB5-9888-50EE6B959275}</x:author>
    <x:author>tc={43EAAB26-3C24-4012-AC8A-B6ACA89CD3C9}</x:author>
    <x:author>tc={BAAE0CA2-628E-4AB1-954E-CA2CC6B2CFC8}</x:author>
    <x:author>tc={AF7F6EF1-84CF-4678-92F7-8A37FA1974AF}</x:author>
    <x:author>tc={54D0989B-3D03-4E07-A1CF-441B12959232}</x:author>
    <x:author>tc={7695FD9F-177C-4D6F-917A-60C164633A2F}</x:author>
    <x:author>tc={9377ECEA-618C-4C55-8D91-A4DD99B167BD}</x:author>
    <x:author>tc={8C0FA5E2-E78D-47D0-A0CE-C9CCC43FE7F7}</x:author>
    <x:author>tc={44F11198-365A-4063-AC05-9BCA554264EA}</x:author>
    <x:author>tc={1A51FE2E-A025-4BD0-9B1D-F47EF7B99623}</x:author>
    <x:author>tc={823E1EB3-A039-42D7-8D93-9D312C33A9A7}</x:author>
    <x:author>tc={D179058D-A8B8-42D9-B75C-8D34A08E3630}</x:author>
    <x:author>tc={A324D7E7-CF81-4361-B71D-AE068A8450CF}</x:author>
    <x:author>tc={73DF5E3D-3B41-42F6-832F-E9909E27E40B}</x:author>
    <x:author>tc={74692987-C45B-44FE-B7BC-0D55AC48CE0D}</x:author>
    <x:author>tc={5F57794C-C582-4765-B067-B11FC959CEF4}</x:author>
    <x:author>tc={B31A6391-17F7-45BB-A419-793805228CC7}</x:author>
    <x:author>tc={D7BEC1A3-4745-4A2E-9E0E-32450D4B73A2}</x:author>
    <x:author>tc={93D96C51-E251-4E5A-B35C-468E8570F590}</x:author>
    <x:author>tc={2DCC8B72-C3A8-4534-8478-48955860ADD9}</x:author>
    <x:author>tc={A14249FD-F4C9-413E-A9A3-BFFE0FFD362E}</x:author>
    <x:author>tc={8CBCC0B8-A351-445A-8022-8E7BD6DFA5AC}</x:author>
    <x:author>tc={3A46E3A9-CEFE-4024-A839-715A72257443}</x:author>
    <x:author>tc={BEC706C5-30CD-4E6E-99CC-95242E543AA6}</x:author>
    <x:author>tc={02D12D86-4A30-4C3A-B80C-84EF9CF36FC3}</x:author>
    <x:author>tc={E1B398FC-FDB3-4075-AB9C-E542B3E5E671}</x:author>
    <x:author>tc={846257E6-E111-4A62-8F9B-96BC8699D273}</x:author>
    <x:author>tc={8519041E-9A80-489A-BA7C-44990E884047}</x:author>
    <x:author>tc={EB00418F-44F6-4DF0-AC54-115C5FF551D1}</x:author>
    <x:author>tc={5077AEA2-34C8-44BD-B961-61874EFBA3D8}</x:author>
    <x:author>tc={B25407F7-922B-4954-AE87-1506308BF660}</x:author>
    <x:author>tc={CEEC1A2A-22B7-4B17-A3F3-CDF3C2AE9C0F}</x:author>
    <x:author>tc={28FD6E89-DBA9-4E2D-91BA-ECC26C60E066}</x:author>
    <x:author>tc={A5183736-1AB7-4034-B40D-7A3CAF74EDD9}</x:author>
    <x:author>tc={F839A38B-8A08-403F-9F56-76D16BE877F5}</x:author>
    <x:author>tc={1085DAE9-8FD6-4EBF-AB06-ADBC586BF9F8}</x:author>
    <x:author>tc={D6DC4758-C3F3-4EEC-9AF1-2861DD56673E}</x:author>
    <x:author>tc={E59468EC-F88D-453B-98C5-80DFCA69D36F}</x:author>
    <x:author>tc={DA9474A3-285A-485B-A8DC-F6ADCA422698}</x:author>
    <x:author>tc={09064B2B-5FAD-4B9A-AED3-1E92583472B1}</x:author>
    <x:author>tc={C6096EEC-570C-4D45-A1FA-B4525CD9E3E0}</x:author>
    <x:author>tc={1C7E445D-EAD4-436C-9709-B7016F2A3855}</x:author>
    <x:author>tc={05FBCB1E-539C-4B8A-A60B-A606C97EBC89}</x:author>
    <x:author>tc={A9470DC5-6590-48C9-A169-C07D4EA6B0C3}</x:author>
    <x:author>tc={5AF49EA7-4494-4E8D-A692-8ADC256E26AA}</x:author>
    <x:author>tc={9A0A789C-A826-49D5-A3C3-D504726C0E12}</x:author>
    <x:author>tc={0E7B285A-7503-4316-BA47-103E920D99E9}</x:author>
    <x:author>tc={44EFE241-34EF-4067-B733-C5E9C44120AE}</x:author>
    <x:author>tc={03D813ED-F569-413C-AA7F-327C2690CC22}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Planning conversion; not a live exchange rate. See Sources; checked 6 September 2026. Proposals and estimates are editable assumptions.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ATO: Assumes GST registration; verify with accountant. See Sources; checked 6 September 2026. Proposals and estimates are editable assumptions.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Up to four profiles. See Sources; checked 6 September 2026. Proposals and estimates are editable assumptions.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Annual upfront; revenue normalized monthly. See Sources; checked 6 September 2026. Proposals and estimates are editable assumptions.</x:t>
        </x:r>
      </x:text>
    </x:comment>
    <x:comment ref="B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Remaining customers annual. See Sources; checked 6 September 2026. Proposals and estimates are editable assumptions.</x:t>
        </x:r>
      </x:text>
    </x:comment>
    <x:comment ref="B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Remaining customers Stripe web. See Sources; checked 6 September 2026. Proposals and estimates are editable assumptions.</x:t>
        </x:r>
      </x:text>
    </x:comment>
    <x:comment ref="B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Maximum four profiles. See Sources; checked 6 September 2026. Proposals and estimates are editable assumptions.</x:t>
        </x:r>
      </x:text>
    </x:comment>
    <x:comment ref="B1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Shared household allowance. See Sources; checked 6 September 2026. Proposals and estimates are editable assumptions.</x:t>
        </x:r>
      </x:text>
    </x:comment>
    <x:comment ref="B1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Minimum 25 licensed seats. See Sources; checked 6 September 2026. Proposals and estimates are editable assumptions.</x:t>
        </x:r>
      </x:text>
    </x:comment>
    <x:comment ref="B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Annual upfront per seat. See Sources; checked 6 September 2026. Proposals and estimates are editable assumptions.</x:t>
        </x:r>
      </x:text>
    </x:comment>
    <x:comment ref="B14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Remaining clubs annual. See Sources; checked 6 September 2026. Proposals and estimates are editable assumptions.</x:t>
        </x:r>
      </x:text>
    </x:comment>
    <x:comment ref="B1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Licensed seats, not monthly active users. See Sources; checked 6 September 2026. Proposals and estimates are editable assumptions.</x:t>
        </x:r>
      </x:text>
    </x:comment>
    <x:comment ref="B1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Usage fraction of licensed players. See Sources; checked 6 September 2026. Proposals and estimates are editable assumptions.</x:t>
        </x:r>
      </x:text>
    </x:comment>
    <x:comment ref="B1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Pooled; per-player safeguards. See Sources; checked 6 September 2026. Proposals and estimates are editable assumptions.</x:t>
        </x:r>
      </x:text>
    </x:comment>
    <x:comment ref="B1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Later independent Coach Pro. See Sources; checked 6 September 2026. Proposals and estimates are editable assumptions.</x:t>
        </x:r>
      </x:text>
    </x:comment>
    <x:comment ref="B1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Not required for invited club coaches. See Sources; checked 6 September 2026. Proposals and estimates are editable assumptions.</x:t>
        </x:r>
      </x:text>
    </x:comment>
    <x:comment ref="B2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 extra client video quota. See Sources; checked 6 September 2026. Proposals and estimates are editable assumptions.</x:t>
        </x:r>
      </x:text>
    </x:comment>
    <x:comment ref="B2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Stores: Eligible Apple small-business/Google subscription basis; stress 30%. See Sources; checked 6 September 2026. Proposals and estimates are editable assumptions.</x:t>
        </x:r>
      </x:text>
    </x:comment>
    <x:comment ref="B2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Stripe: Domestic Australian cards only. See Sources; checked 6 September 2026. Proposals and estimates are editable assumptions.</x:t>
        </x:r>
      </x:text>
    </x:comment>
    <x:comment ref="B2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Stripe: Annual invoices charged once, not every month. See Sources; checked 6 September 2026. Proposals and estimates are editable assumptions.</x:t>
        </x:r>
      </x:text>
    </x:comment>
    <x:comment ref="B2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Stripe Billing: Additional to payment processing. See Sources; checked 6 September 2026. Proposals and estimates are editable assumptions.</x:t>
        </x:r>
      </x:text>
    </x:comment>
    <x:comment ref="B25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RevenueCat: Actual tracked receipts, not recognized MRR. See Sources; checked 6 September 2026. Proposals and estimates are editable assumptions.</x:t>
        </x:r>
      </x:text>
    </x:comment>
    <x:comment ref="B26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RevenueCat: Whole tracked revenue above threshold. See Sources; checked 6 September 2026. Proposals and estimates are editable assumptions.</x:t>
        </x:r>
      </x:text>
    </x:comment>
    <x:comment ref="B2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Steady-state store receipts proxy; annual renewal peaks differ. See Sources; checked 6 September 2026. Proposals and estimates are editable assumptions.</x:t>
        </x:r>
      </x:text>
    </x:comment>
    <x:comment ref="B28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Ex-GST revenue reserve; not full chargeback fees. See Sources; checked 6 September 2026. Proposals and estimates are editable assumptions.</x:t>
        </x:r>
      </x:text>
    </x:comment>
    <x:comment ref="B29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Paid eligible unique players. See Sources; checked 6 September 2026. Proposals and estimates are editable assumptions.</x:t>
        </x:r>
      </x:text>
    </x:comment>
    <x:comment ref="B3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Usage input, not coaching prescription. See Sources; checked 6 September 2026. Proposals and estimates are editable assumptions.</x:t>
        </x:r>
      </x:text>
    </x:comment>
    <x:comment ref="B3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Usage input. See Sources; checked 6 September 2026. Proposals and estimates are editable assumptions.</x:t>
        </x:r>
      </x:text>
    </x:comment>
    <x:comment ref="B32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Must measure actual supported devices. See Sources; checked 6 September 2026. Proposals and estimates are editable assumptions.</x:t>
        </x:r>
      </x:text>
    </x:comment>
    <x:comment ref="B3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Audio/container/thumbnails allowance. See Sources; checked 6 September 2026. Proposals and estimates are editable assumptions.</x:t>
        </x:r>
      </x:text>
    </x:comment>
    <x:comment ref="B34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Visible expiry on each cloud recording. See Sources; checked 6 September 2026. Proposals and estimates are editable assumptions.</x:t>
        </x:r>
      </x:text>
    </x:comment>
    <x:comment ref="B35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Proposal: Noncurrent deleted/changed copies; current backup persists. See Sources; checked 6 September 2026. Proposals and estimates are editable assumptions.</x:t>
        </x:r>
      </x:text>
    </x:comment>
    <x:comment ref="B3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Full recording equivalents. See Sources; checked 6 September 2026. Proposals and estimates are editable assumptions.</x:t>
        </x:r>
      </x:text>
    </x:comment>
    <x:comment ref="B37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One outbound recovery copy per new upload. See Sources; checked 6 September 2026. Proposals and estimates are editable assumptions.</x:t>
        </x:r>
      </x:text>
    </x:comment>
    <x:comment ref="B3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Monthly demo download traffic. See Sources; checked 6 September 2026. Proposals and estimates are editable assumptions.</x:t>
        </x:r>
      </x:text>
    </x:comment>
    <x:comment ref="B39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Approved instructional media. See Sources; checked 6 September 2026. Proposals and estimates are editable assumptions.</x:t>
        </x:r>
      </x:text>
    </x:comment>
    <x:comment ref="B40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Recovery exports and operational allowance. See Sources; checked 6 September 2026. Proposals and estimates are editable assumptions.</x:t>
        </x:r>
      </x:text>
    </x:comment>
    <x:comment ref="B41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Bounded by family count; verify actual unique usage. See Sources; checked 6 September 2026. Proposals and estimates are editable assumptions.</x:t>
        </x:r>
      </x:text>
    </x:comment>
    <x:comment ref="B4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Supabase: Pro plus second Micro staging project. See Sources; checked 6 September 2026. Proposals and estimates are editable assumptions.</x:t>
        </x:r>
      </x:text>
    </x:comment>
    <x:comment ref="B4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Supabase: Shared model allowance, allocated once. See Sources; checked 6 September 2026. Proposals and estimates are editable assumptions.</x:t>
        </x:r>
      </x:text>
    </x:comment>
    <x:comment ref="B44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Supabase: Overage. See Sources; checked 6 September 2026. Proposals and estimates are editable assumptions.</x:t>
        </x:r>
      </x:text>
    </x:comment>
    <x:comment ref="B45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Supabase: Uses uncached allowance only; conservative. See Sources; checked 6 September 2026. Proposals and estimates are editable assumptions.</x:t>
        </x:r>
      </x:text>
    </x:comment>
    <x:comment ref="B46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Supabase: Conservative uncached rate. See Sources; checked 6 September 2026. Proposals and estimates are editable assumptions.</x:t>
        </x:r>
      </x:text>
    </x:comment>
    <x:comment ref="B47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Vercel: One builder seat; variable usage reserve separately. See Sources; checked 6 September 2026. Proposals and estimates are editable assumptions.</x:t>
        </x:r>
      </x:text>
    </x:comment>
    <x:comment ref="B48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Not a quoted Australian S3 regional rate. See Sources; checked 6 September 2026. Proposals and estimates are editable assumptions.</x:t>
        </x:r>
      </x:text>
    </x:comment>
    <x:comment ref="B49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Requests/jobs/secrets allowance. See Sources; checked 6 September 2026. Proposals and estimates are editable assumptions.</x:t>
        </x:r>
      </x:text>
    </x:comment>
    <x:comment ref="B50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Budget, not SES unit price. See Sources; checked 6 September 2026. Proposals and estimates are editable assumptions.</x:t>
        </x:r>
      </x:text>
    </x:comment>
    <x:comment ref="B51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 child footage in telemetry. See Sources; checked 6 September 2026. Proposals and estimates are editable assumptions.</x:t>
        </x:r>
      </x:text>
    </x:comment>
    <x:comment ref="B52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Economic labor cost even if founder supplies it. See Sources; checked 6 September 2026. Proposals and estimates are editable assumptions.</x:t>
        </x:r>
      </x:text>
    </x:comment>
    <x:comment ref="B5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Per paid family. See Sources; checked 6 September 2026. Proposals and estimates are editable assumptions.</x:t>
        </x:r>
      </x:text>
    </x:comment>
    <x:comment ref="B54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Per paid or trial club. See Sources; checked 6 September 2026. Proposals and estimates are editable assumptions.</x:t>
        </x:r>
      </x:text>
    </x:comment>
    <x:comment ref="B55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Per independent coach. See Sources; checked 6 September 2026. Proposals and estimates are editable assumptions.</x:t>
        </x:r>
      </x:text>
    </x:comment>
    <x:comment ref="B56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Per active free player. See Sources; checked 6 September 2026. Proposals and estimates are editable assumptions.</x:t>
        </x:r>
      </x:text>
    </x:comment>
    <x:comment ref="B57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Complimentary pilot only. See Sources; checked 6 September 2026. Proposals and estimates are editable assumptions.</x:t>
        </x:r>
      </x:text>
    </x:comment>
    <x:comment ref="B58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Core engineering excludes listed specialists. See Sources; checked 6 September 2026. Proposals and estimates are editable assumptions.</x:t>
        </x:r>
      </x:text>
    </x:comment>
    <x:comment ref="B59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Illustrative; obtain specialist estimates. See Sources; checked 6 September 2026. Proposals and estimates are editable assumptions.</x:t>
        </x:r>
      </x:text>
    </x:comment>
    <x:comment ref="B60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Work estimate. See Sources; checked 6 September 2026. Proposals and estimates are editable assumptions.</x:t>
        </x:r>
      </x:text>
    </x:comment>
    <x:comment ref="B61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Not a supplier quote. See Sources; checked 6 September 2026. Proposals and estimates are editable assumptions.</x:t>
        </x:r>
      </x:text>
    </x:comment>
    <x:comment ref="B62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Content review and pilot. See Sources; checked 6 September 2026. Proposals and estimates are editable assumptions.</x:t>
        </x:r>
      </x:text>
    </x:comment>
    <x:comment ref="B63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Not a supplier quote. See Sources; checked 6 September 2026. Proposals and estimates are editable assumptions.</x:t>
        </x:r>
      </x:text>
    </x:comment>
    <x:comment ref="B64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Three briefs / pilot asset scope to estimate. See Sources; checked 6 September 2026. Proposals and estimates are editable assumptions.</x:t>
        </x:r>
      </x:text>
    </x:comment>
    <x:comment ref="B65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Not a supplier quote. See Sources; checked 6 September 2026. Proposals and estimates are editable assumptions.</x:t>
        </x:r>
      </x:text>
    </x:comment>
    <x:comment ref="B66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Australian first-market review. See Sources; checked 6 September 2026. Proposals and estimates are editable assumptions.</x:t>
        </x:r>
      </x:text>
    </x:comment>
    <x:comment ref="B6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Not a supplier quote. See Sources; checked 6 September 2026. Proposals and estimates are editable assumptions.</x:t>
        </x:r>
      </x:text>
    </x:comment>
    <x:comment ref="B68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Independent review and verification. See Sources; checked 6 September 2026. Proposals and estimates are editable assumptions.</x:t>
        </x:r>
      </x:text>
    </x:comment>
    <x:comment ref="B6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Not a supplier quote. See Sources; checked 6 September 2026. Proposals and estimates are editable assumptions.</x:t>
        </x:r>
      </x:text>
    </x:comment>
    <x:comment ref="B70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Device availability may alter cost. See Sources; checked 6 September 2026. Proposals and estimates are editable assumptions.</x:t>
        </x:r>
      </x:text>
    </x:comment>
    <x:comment ref="B71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Legal/account setup allowance. See Sources; checked 6 September 2026. Proposals and estimates are editable assumptions.</x:t>
        </x:r>
      </x:text>
    </x:comment>
    <x:comment ref="B72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Budget duration, not delivery commitment. See Sources; checked 6 September 2026. Proposals and estimates are editable assumptions.</x:t>
        </x:r>
      </x:text>
    </x:comment>
    <x:comment ref="B7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Development services. See Sources; checked 6 September 2026. Proposals and estimates are editable assumptions.</x:t>
        </x:r>
      </x:text>
    </x:comment>
    <x:comment ref="B74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Applied to modeled cash build cost. See Sources; checked 6 September 2026. Proposals and estimates are editable assumptions.</x:t>
        </x:r>
      </x:text>
    </x:comment>
    <x:comment ref="B75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Estimate: Excludes uncommissioned core engineering. See Sources; checked 6 September 2026. Proposals and estimates are editable assumptions.</x:t>
        </x:r>
      </x:text>
    </x:comment>
    <x:comment ref="B76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Calendar equivalent, not project schedule. See Sources; checked 6 September 2026. Proposals and estimates are editable assumptions.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&quot;—&quot;"/>
    <x:numFmt numFmtId="201" formatCode="0%"/>
    <x:numFmt numFmtId="202" formatCode="0.0%"/>
    <x:numFmt numFmtId="203" formatCode="&quot;$&quot;#,##0.00;[Red](&quot;$&quot;#,##0.00);&quot;—&quot;"/>
    <x:numFmt numFmtId="204" formatCode="#,##0"/>
    <x:numFmt numFmtId="205" formatCode="0.000"/>
  </x:numFmts>
  <x:fonts count="6">
    <x:font>
      <x:sz val="11"/>
      <x:name val="Carlito"/>
    </x:font>
    <x:font>
      <x:sz val="11"/>
      <x:color rgb="FF172B4D"/>
      <x:name val="Carlito"/>
    </x:font>
    <x:font>
      <x:b/>
      <x:sz val="11"/>
      <x:color rgb="FFFFFFFF"/>
      <x:name val="Carlito"/>
    </x:font>
    <x:font>
      <x:b/>
      <x:sz val="11"/>
      <x:color rgb="FF172B4D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CEA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/>
    <x:xf numFmtId="202" fontId="4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0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  <x:dxfs count="5">
    <x:dxf>
      <x:font>
        <x:color rgb="FFC00000"/>
      </x:font>
    </x:dxf>
    <x:dxf>
      <x:font>
        <x:color rgb="FFC00000"/>
      </x:font>
    </x:dxf>
    <x:dxf>
      <x:font>
        <x:color rgb="FFC00000"/>
      </x:font>
    </x:dxf>
    <x:dxf>
      <x:font>
        <x:color rgb="FFC00000"/>
      </x:font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915473e0e470c" /><Relationship Type="http://schemas.openxmlformats.org/officeDocument/2006/relationships/theme" Target="/xl/theme/theme1.xml" Id="R37ee1a37f5ff466a" /><Relationship Type="http://schemas.openxmlformats.org/officeDocument/2006/relationships/sharedStrings" Target="/xl/sharedStrings.xml" Id="R055b50aded234202" /><Relationship Type="http://schemas.openxmlformats.org/officeDocument/2006/relationships/worksheet" Target="/xl/worksheets/sheet1.xml" Id="R0aac898acd6d438c" /><Relationship Type="http://schemas.openxmlformats.org/officeDocument/2006/relationships/worksheet" Target="/xl/worksheets/sheet2.xml" Id="Re8b49737a2d24cc5" /><Relationship Type="http://schemas.openxmlformats.org/officeDocument/2006/relationships/worksheet" Target="/xl/worksheets/sheet3.xml" Id="Rca2f508f044d41a3" /><Relationship Type="http://schemas.openxmlformats.org/officeDocument/2006/relationships/worksheet" Target="/xl/worksheets/sheet4.xml" Id="Rb86f03e547e9436d" /><Relationship Type="http://schemas.openxmlformats.org/officeDocument/2006/relationships/worksheet" Target="/xl/worksheets/sheet5.xml" Id="R2cd5eae9c8524e22" /><Relationship Type="http://schemas.openxmlformats.org/officeDocument/2006/relationships/worksheet" Target="/xl/worksheets/sheet6.xml" Id="Rdf429027611a4b0c" /><Relationship Type="http://schemas.openxmlformats.org/officeDocument/2006/relationships/worksheet" Target="/xl/worksheets/sheet7.xml" Id="Rd540595a943c42c1" /><Relationship Type="http://schemas.microsoft.com/office/2017/10/relationships/person" Target="/xl/persons/person.xml" Id="R6a14be5340c742c7" /></Relationships>
</file>

<file path=xl/persons/person.xml><?xml version="1.0" encoding="utf-8"?>
<xltc:personList xmlns:xltc="http://schemas.microsoft.com/office/spreadsheetml/2018/threadedcomments">
  <xltc:person displayName="Planning sources" id="{6F4332F8-3A5A-42C8-A546-4DE16CF68B8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6T03:51:23.536" personId="{6F4332F8-3A5A-42C8-A546-4DE16CF68B83}" id="{D15673C5-F13A-41DB-8161-4A495775A9CB}">
    <xltc:text>Assumption: Planning conversion; not a live exchange rate. See Sources; checked 6 September 2026. Proposals and estimates are editable assumptions.</xltc:text>
  </xltc:threadedComment>
  <xltc:threadedComment ref="B5" dT="2026-09-06T03:51:23.538" personId="{6F4332F8-3A5A-42C8-A546-4DE16CF68B83}" id="{DAAC84D4-1C73-4EFA-8A72-8D2DBD7A491D}">
    <xltc:text>ATO: Assumes GST registration; verify with accountant. See Sources; checked 6 September 2026. Proposals and estimates are editable assumptions.</xltc:text>
  </xltc:threadedComment>
  <xltc:threadedComment ref="B6" dT="2026-09-06T03:51:23.539" personId="{6F4332F8-3A5A-42C8-A546-4DE16CF68B83}" id="{097B5676-B71E-42A6-B477-B8236D7F1BE5}">
    <xltc:text>Proposal: Up to four profiles. See Sources; checked 6 September 2026. Proposals and estimates are editable assumptions.</xltc:text>
  </xltc:threadedComment>
  <xltc:threadedComment ref="B7" dT="2026-09-06T03:51:23.539" personId="{6F4332F8-3A5A-42C8-A546-4DE16CF68B83}" id="{FE7D7342-BA27-4F8A-95F6-A800FB854203}">
    <xltc:text>Proposal: Annual upfront; revenue normalized monthly. See Sources; checked 6 September 2026. Proposals and estimates are editable assumptions.</xltc:text>
  </xltc:threadedComment>
  <xltc:threadedComment ref="B8" dT="2026-09-06T03:51:23.539" personId="{6F4332F8-3A5A-42C8-A546-4DE16CF68B83}" id="{8104D0D5-83FE-492E-B097-C6E7868FE20A}">
    <xltc:text>Assumption: Remaining customers annual. See Sources; checked 6 September 2026. Proposals and estimates are editable assumptions.</xltc:text>
  </xltc:threadedComment>
  <xltc:threadedComment ref="B9" dT="2026-09-06T03:51:23.539" personId="{6F4332F8-3A5A-42C8-A546-4DE16CF68B83}" id="{CE902B84-1D9E-41CA-9827-49E22ECAE40B}">
    <xltc:text>Assumption: Remaining customers Stripe web. See Sources; checked 6 September 2026. Proposals and estimates are editable assumptions.</xltc:text>
  </xltc:threadedComment>
  <xltc:threadedComment ref="B10" dT="2026-09-06T03:51:23.539" personId="{6F4332F8-3A5A-42C8-A546-4DE16CF68B83}" id="{E98587F5-B7BA-46A7-AE30-CEF76236D1A9}">
    <xltc:text>Assumption: Maximum four profiles. See Sources; checked 6 September 2026. Proposals and estimates are editable assumptions.</xltc:text>
  </xltc:threadedComment>
  <xltc:threadedComment ref="B11" dT="2026-09-06T03:51:23.539" personId="{6F4332F8-3A5A-42C8-A546-4DE16CF68B83}" id="{A9FE60E0-4319-4A0E-9FF5-0EA1EE03D91E}">
    <xltc:text>Proposal: Shared household allowance. See Sources; checked 6 September 2026. Proposals and estimates are editable assumptions.</xltc:text>
  </xltc:threadedComment>
  <xltc:threadedComment ref="B12" dT="2026-09-06T03:51:23.539" personId="{6F4332F8-3A5A-42C8-A546-4DE16CF68B83}" id="{C8DE4AAA-24EC-46D7-ABD0-70DAE972C4CC}">
    <xltc:text>Proposal: Minimum 25 licensed seats. See Sources; checked 6 September 2026. Proposals and estimates are editable assumptions.</xltc:text>
  </xltc:threadedComment>
  <xltc:threadedComment ref="B13" dT="2026-09-06T03:51:23.54" personId="{6F4332F8-3A5A-42C8-A546-4DE16CF68B83}" id="{404A9E36-5AC2-49C9-B791-0D53C7F9CBD9}">
    <xltc:text>Proposal: Annual upfront per seat. See Sources; checked 6 September 2026. Proposals and estimates are editable assumptions.</xltc:text>
  </xltc:threadedComment>
  <xltc:threadedComment ref="B14" dT="2026-09-06T03:51:23.54" personId="{6F4332F8-3A5A-42C8-A546-4DE16CF68B83}" id="{B6B08FA5-AA33-4973-BB72-B9C9C94E98DE}">
    <xltc:text>Assumption: Remaining clubs annual. See Sources; checked 6 September 2026. Proposals and estimates are editable assumptions.</xltc:text>
  </xltc:threadedComment>
  <xltc:threadedComment ref="B15" dT="2026-09-06T03:51:23.54" personId="{6F4332F8-3A5A-42C8-A546-4DE16CF68B83}" id="{DBB20C31-5AF0-442C-911F-C6761ED66E48}">
    <xltc:text>Proposal: Licensed seats, not monthly active users. See Sources; checked 6 September 2026. Proposals and estimates are editable assumptions.</xltc:text>
  </xltc:threadedComment>
  <xltc:threadedComment ref="B16" dT="2026-09-06T03:51:23.54" personId="{6F4332F8-3A5A-42C8-A546-4DE16CF68B83}" id="{67B42A98-FF3A-420C-A677-46B0EAFB8D11}">
    <xltc:text>Assumption: Usage fraction of licensed players. See Sources; checked 6 September 2026. Proposals and estimates are editable assumptions.</xltc:text>
  </xltc:threadedComment>
  <xltc:threadedComment ref="B17" dT="2026-09-06T03:51:23.54" personId="{6F4332F8-3A5A-42C8-A546-4DE16CF68B83}" id="{CE52D117-391C-4E80-9C72-4B00A87FD02D}">
    <xltc:text>Proposal: Pooled; per-player safeguards. See Sources; checked 6 September 2026. Proposals and estimates are editable assumptions.</xltc:text>
  </xltc:threadedComment>
  <xltc:threadedComment ref="B18" dT="2026-09-06T03:51:23.54" personId="{6F4332F8-3A5A-42C8-A546-4DE16CF68B83}" id="{EA003C98-5A42-4E08-8C82-27664D8A28AB}">
    <xltc:text>Proposal: Later independent Coach Pro. See Sources; checked 6 September 2026. Proposals and estimates are editable assumptions.</xltc:text>
  </xltc:threadedComment>
  <xltc:threadedComment ref="B19" dT="2026-09-06T03:51:23.54" personId="{6F4332F8-3A5A-42C8-A546-4DE16CF68B83}" id="{3AE7EA1C-4818-4C69-B138-06B8EC5C7540}">
    <xltc:text>Proposal: Not required for invited club coaches. See Sources; checked 6 September 2026. Proposals and estimates are editable assumptions.</xltc:text>
  </xltc:threadedComment>
  <xltc:threadedComment ref="B20" dT="2026-09-06T03:51:23.54" personId="{6F4332F8-3A5A-42C8-A546-4DE16CF68B83}" id="{1C8DB2A7-59BB-49DD-884F-4CBF7A83D7EC}">
    <xltc:text>Assumption: No extra client video quota. See Sources; checked 6 September 2026. Proposals and estimates are editable assumptions.</xltc:text>
  </xltc:threadedComment>
  <xltc:threadedComment ref="B21" dT="2026-09-06T03:51:23.54" personId="{6F4332F8-3A5A-42C8-A546-4DE16CF68B83}" id="{26F7F0E1-D05E-4E80-88A4-E7448F9FDC3B}">
    <xltc:text>Stores: Eligible Apple small-business/Google subscription basis; stress 30%. See Sources; checked 6 September 2026. Proposals and estimates are editable assumptions.</xltc:text>
  </xltc:threadedComment>
  <xltc:threadedComment ref="B22" dT="2026-09-06T03:51:23.54" personId="{6F4332F8-3A5A-42C8-A546-4DE16CF68B83}" id="{469E0F68-B6C6-49EF-896D-D2B010A7E71C}">
    <xltc:text>Stripe: Domestic Australian cards only. See Sources; checked 6 September 2026. Proposals and estimates are editable assumptions.</xltc:text>
  </xltc:threadedComment>
  <xltc:threadedComment ref="B23" dT="2026-09-06T03:51:23.54" personId="{6F4332F8-3A5A-42C8-A546-4DE16CF68B83}" id="{FB7A8BCD-AB0D-4F2B-BF36-240AC55F9FC8}">
    <xltc:text>Stripe: Annual invoices charged once, not every month. See Sources; checked 6 September 2026. Proposals and estimates are editable assumptions.</xltc:text>
  </xltc:threadedComment>
  <xltc:threadedComment ref="B24" dT="2026-09-06T03:51:23.54" personId="{6F4332F8-3A5A-42C8-A546-4DE16CF68B83}" id="{35493631-9CC4-4779-8297-A359DD0267C1}">
    <xltc:text>Stripe Billing: Additional to payment processing. See Sources; checked 6 September 2026. Proposals and estimates are editable assumptions.</xltc:text>
  </xltc:threadedComment>
  <xltc:threadedComment ref="B25" dT="2026-09-06T03:51:23.54" personId="{6F4332F8-3A5A-42C8-A546-4DE16CF68B83}" id="{DD927AE5-E39D-4A31-9307-CF7835B4C3E3}">
    <xltc:text>RevenueCat: Actual tracked receipts, not recognized MRR. See Sources; checked 6 September 2026. Proposals and estimates are editable assumptions.</xltc:text>
  </xltc:threadedComment>
  <xltc:threadedComment ref="B26" dT="2026-09-06T03:51:23.54" personId="{6F4332F8-3A5A-42C8-A546-4DE16CF68B83}" id="{CA687E9A-EFEF-4252-BE83-3F078257A0BD}">
    <xltc:text>RevenueCat: Whole tracked revenue above threshold. See Sources; checked 6 September 2026. Proposals and estimates are editable assumptions.</xltc:text>
  </xltc:threadedComment>
  <xltc:threadedComment ref="B27" dT="2026-09-06T03:51:23.54" personId="{6F4332F8-3A5A-42C8-A546-4DE16CF68B83}" id="{6820A030-7E60-4D1B-996C-B13A1E32EAC2}">
    <xltc:text>Assumption: Steady-state store receipts proxy; annual renewal peaks differ. See Sources; checked 6 September 2026. Proposals and estimates are editable assumptions.</xltc:text>
  </xltc:threadedComment>
  <xltc:threadedComment ref="B28" dT="2026-09-06T03:51:23.54" personId="{6F4332F8-3A5A-42C8-A546-4DE16CF68B83}" id="{30934E3F-B394-4DB5-9888-50EE6B959275}">
    <xltc:text>Assumption: Ex-GST revenue reserve; not full chargeback fees. See Sources; checked 6 September 2026. Proposals and estimates are editable assumptions.</xltc:text>
  </xltc:threadedComment>
  <xltc:threadedComment ref="B29" dT="2026-09-06T03:51:23.54" personId="{6F4332F8-3A5A-42C8-A546-4DE16CF68B83}" id="{43EAAB26-3C24-4012-AC8A-B6ACA89CD3C9}">
    <xltc:text>Assumption: Paid eligible unique players. See Sources; checked 6 September 2026. Proposals and estimates are editable assumptions.</xltc:text>
  </xltc:threadedComment>
  <xltc:threadedComment ref="B30" dT="2026-09-06T03:51:23.54" personId="{6F4332F8-3A5A-42C8-A546-4DE16CF68B83}" id="{BAAE0CA2-628E-4AB1-954E-CA2CC6B2CFC8}">
    <xltc:text>Assumption: Usage input, not coaching prescription. See Sources; checked 6 September 2026. Proposals and estimates are editable assumptions.</xltc:text>
  </xltc:threadedComment>
  <xltc:threadedComment ref="B31" dT="2026-09-06T03:51:23.54" personId="{6F4332F8-3A5A-42C8-A546-4DE16CF68B83}" id="{AF7F6EF1-84CF-4678-92F7-8A37FA1974AF}">
    <xltc:text>Assumption: Usage input. See Sources; checked 6 September 2026. Proposals and estimates are editable assumptions.</xltc:text>
  </xltc:threadedComment>
  <xltc:threadedComment ref="B32" dT="2026-09-06T03:51:23.54" personId="{6F4332F8-3A5A-42C8-A546-4DE16CF68B83}" id="{54D0989B-3D03-4E07-A1CF-441B12959232}">
    <xltc:text>Assumption: Must measure actual supported devices. See Sources; checked 6 September 2026. Proposals and estimates are editable assumptions.</xltc:text>
  </xltc:threadedComment>
  <xltc:threadedComment ref="B33" dT="2026-09-06T03:51:23.54" personId="{6F4332F8-3A5A-42C8-A546-4DE16CF68B83}" id="{7695FD9F-177C-4D6F-917A-60C164633A2F}">
    <xltc:text>Assumption: Audio/container/thumbnails allowance. See Sources; checked 6 September 2026. Proposals and estimates are editable assumptions.</xltc:text>
  </xltc:threadedComment>
  <xltc:threadedComment ref="B34" dT="2026-09-06T03:51:23.54" personId="{6F4332F8-3A5A-42C8-A546-4DE16CF68B83}" id="{9377ECEA-618C-4C55-8D91-A4DD99B167BD}">
    <xltc:text>Proposal: Visible expiry on each cloud recording. See Sources; checked 6 September 2026. Proposals and estimates are editable assumptions.</xltc:text>
  </xltc:threadedComment>
  <xltc:threadedComment ref="B35" dT="2026-09-06T03:51:23.541" personId="{6F4332F8-3A5A-42C8-A546-4DE16CF68B83}" id="{8C0FA5E2-E78D-47D0-A0CE-C9CCC43FE7F7}">
    <xltc:text>Proposal: Noncurrent deleted/changed copies; current backup persists. See Sources; checked 6 September 2026. Proposals and estimates are editable assumptions.</xltc:text>
  </xltc:threadedComment>
  <xltc:threadedComment ref="B36" dT="2026-09-06T03:51:23.541" personId="{6F4332F8-3A5A-42C8-A546-4DE16CF68B83}" id="{44F11198-365A-4063-AC05-9BCA554264EA}">
    <xltc:text>Assumption: Full recording equivalents. See Sources; checked 6 September 2026. Proposals and estimates are editable assumptions.</xltc:text>
  </xltc:threadedComment>
  <xltc:threadedComment ref="B37" dT="2026-09-06T03:51:23.541" personId="{6F4332F8-3A5A-42C8-A546-4DE16CF68B83}" id="{1A51FE2E-A025-4BD0-9B1D-F47EF7B99623}">
    <xltc:text>Assumption: One outbound recovery copy per new upload. See Sources; checked 6 September 2026. Proposals and estimates are editable assumptions.</xltc:text>
  </xltc:threadedComment>
  <xltc:threadedComment ref="B38" dT="2026-09-06T03:51:23.541" personId="{6F4332F8-3A5A-42C8-A546-4DE16CF68B83}" id="{823E1EB3-A039-42D7-8D93-9D312C33A9A7}">
    <xltc:text>Assumption: Monthly demo download traffic. See Sources; checked 6 September 2026. Proposals and estimates are editable assumptions.</xltc:text>
  </xltc:threadedComment>
  <xltc:threadedComment ref="B39" dT="2026-09-06T03:51:23.541" personId="{6F4332F8-3A5A-42C8-A546-4DE16CF68B83}" id="{D179058D-A8B8-42D9-B75C-8D34A08E3630}">
    <xltc:text>Assumption: Approved instructional media. See Sources; checked 6 September 2026. Proposals and estimates are editable assumptions.</xltc:text>
  </xltc:threadedComment>
  <xltc:threadedComment ref="B40" dT="2026-09-06T03:51:23.541" personId="{6F4332F8-3A5A-42C8-A546-4DE16CF68B83}" id="{A324D7E7-CF81-4361-B71D-AE068A8450CF}">
    <xltc:text>Assumption: Recovery exports and operational allowance. See Sources; checked 6 September 2026. Proposals and estimates are editable assumptions.</xltc:text>
  </xltc:threadedComment>
  <xltc:threadedComment ref="B41" dT="2026-09-06T03:51:23.541" personId="{6F4332F8-3A5A-42C8-A546-4DE16CF68B83}" id="{73DF5E3D-3B41-42F6-832F-E9909E27E40B}">
    <xltc:text>Assumption: Bounded by family count; verify actual unique usage. See Sources; checked 6 September 2026. Proposals and estimates are editable assumptions.</xltc:text>
  </xltc:threadedComment>
  <xltc:threadedComment ref="B42" dT="2026-09-06T03:51:23.541" personId="{6F4332F8-3A5A-42C8-A546-4DE16CF68B83}" id="{74692987-C45B-44FE-B7BC-0D55AC48CE0D}">
    <xltc:text>Supabase: Pro plus second Micro staging project. See Sources; checked 6 September 2026. Proposals and estimates are editable assumptions.</xltc:text>
  </xltc:threadedComment>
  <xltc:threadedComment ref="B43" dT="2026-09-06T03:51:23.541" personId="{6F4332F8-3A5A-42C8-A546-4DE16CF68B83}" id="{5F57794C-C582-4765-B067-B11FC959CEF4}">
    <xltc:text>Supabase: Shared model allowance, allocated once. See Sources; checked 6 September 2026. Proposals and estimates are editable assumptions.</xltc:text>
  </xltc:threadedComment>
  <xltc:threadedComment ref="B44" dT="2026-09-06T03:51:23.541" personId="{6F4332F8-3A5A-42C8-A546-4DE16CF68B83}" id="{B31A6391-17F7-45BB-A419-793805228CC7}">
    <xltc:text>Supabase: Overage. See Sources; checked 6 September 2026. Proposals and estimates are editable assumptions.</xltc:text>
  </xltc:threadedComment>
  <xltc:threadedComment ref="B45" dT="2026-09-06T03:51:23.541" personId="{6F4332F8-3A5A-42C8-A546-4DE16CF68B83}" id="{D7BEC1A3-4745-4A2E-9E0E-32450D4B73A2}">
    <xltc:text>Supabase: Uses uncached allowance only; conservative. See Sources; checked 6 September 2026. Proposals and estimates are editable assumptions.</xltc:text>
  </xltc:threadedComment>
  <xltc:threadedComment ref="B46" dT="2026-09-06T03:51:23.541" personId="{6F4332F8-3A5A-42C8-A546-4DE16CF68B83}" id="{93D96C51-E251-4E5A-B35C-468E8570F590}">
    <xltc:text>Supabase: Conservative uncached rate. See Sources; checked 6 September 2026. Proposals and estimates are editable assumptions.</xltc:text>
  </xltc:threadedComment>
  <xltc:threadedComment ref="B47" dT="2026-09-06T03:51:23.541" personId="{6F4332F8-3A5A-42C8-A546-4DE16CF68B83}" id="{2DCC8B72-C3A8-4534-8478-48955860ADD9}">
    <xltc:text>Vercel: One builder seat; variable usage reserve separately. See Sources; checked 6 September 2026. Proposals and estimates are editable assumptions.</xltc:text>
  </xltc:threadedComment>
  <xltc:threadedComment ref="B48" dT="2026-09-06T03:51:23.541" personId="{6F4332F8-3A5A-42C8-A546-4DE16CF68B83}" id="{A14249FD-F4C9-413E-A9A3-BFFE0FFD362E}">
    <xltc:text>Assumption: Not a quoted Australian S3 regional rate. See Sources; checked 6 September 2026. Proposals and estimates are editable assumptions.</xltc:text>
  </xltc:threadedComment>
  <xltc:threadedComment ref="B49" dT="2026-09-06T03:51:23.541" personId="{6F4332F8-3A5A-42C8-A546-4DE16CF68B83}" id="{8CBCC0B8-A351-445A-8022-8E7BD6DFA5AC}">
    <xltc:text>Assumption: Requests/jobs/secrets allowance. See Sources; checked 6 September 2026. Proposals and estimates are editable assumptions.</xltc:text>
  </xltc:threadedComment>
  <xltc:threadedComment ref="B50" dT="2026-09-06T03:51:23.541" personId="{6F4332F8-3A5A-42C8-A546-4DE16CF68B83}" id="{3A46E3A9-CEFE-4024-A839-715A72257443}">
    <xltc:text>Assumption: Budget, not SES unit price. See Sources; checked 6 September 2026. Proposals and estimates are editable assumptions.</xltc:text>
  </xltc:threadedComment>
  <xltc:threadedComment ref="B51" dT="2026-09-06T03:51:23.541" personId="{6F4332F8-3A5A-42C8-A546-4DE16CF68B83}" id="{BEC706C5-30CD-4E6E-99CC-95242E543AA6}">
    <xltc:text>Assumption: No child footage in telemetry. See Sources; checked 6 September 2026. Proposals and estimates are editable assumptions.</xltc:text>
  </xltc:threadedComment>
  <xltc:threadedComment ref="B52" dT="2026-09-06T03:51:23.541" personId="{6F4332F8-3A5A-42C8-A546-4DE16CF68B83}" id="{02D12D86-4A30-4C3A-B80C-84EF9CF36FC3}">
    <xltc:text>Assumption: Economic labor cost even if founder supplies it. See Sources; checked 6 September 2026. Proposals and estimates are editable assumptions.</xltc:text>
  </xltc:threadedComment>
  <xltc:threadedComment ref="B53" dT="2026-09-06T03:51:23.541" personId="{6F4332F8-3A5A-42C8-A546-4DE16CF68B83}" id="{E1B398FC-FDB3-4075-AB9C-E542B3E5E671}">
    <xltc:text>Assumption: Per paid family. See Sources; checked 6 September 2026. Proposals and estimates are editable assumptions.</xltc:text>
  </xltc:threadedComment>
  <xltc:threadedComment ref="B54" dT="2026-09-06T03:51:23.541" personId="{6F4332F8-3A5A-42C8-A546-4DE16CF68B83}" id="{846257E6-E111-4A62-8F9B-96BC8699D273}">
    <xltc:text>Assumption: Per paid or trial club. See Sources; checked 6 September 2026. Proposals and estimates are editable assumptions.</xltc:text>
  </xltc:threadedComment>
  <xltc:threadedComment ref="B55" dT="2026-09-06T03:51:23.541" personId="{6F4332F8-3A5A-42C8-A546-4DE16CF68B83}" id="{8519041E-9A80-489A-BA7C-44990E884047}">
    <xltc:text>Assumption: Per independent coach. See Sources; checked 6 September 2026. Proposals and estimates are editable assumptions.</xltc:text>
  </xltc:threadedComment>
  <xltc:threadedComment ref="B56" dT="2026-09-06T03:51:23.541" personId="{6F4332F8-3A5A-42C8-A546-4DE16CF68B83}" id="{EB00418F-44F6-4DF0-AC54-115C5FF551D1}">
    <xltc:text>Assumption: Per active free player. See Sources; checked 6 September 2026. Proposals and estimates are editable assumptions.</xltc:text>
  </xltc:threadedComment>
  <xltc:threadedComment ref="B57" dT="2026-09-06T03:51:23.541" personId="{6F4332F8-3A5A-42C8-A546-4DE16CF68B83}" id="{5077AEA2-34C8-44BD-B961-61874EFBA3D8}">
    <xltc:text>Assumption: Complimentary pilot only. See Sources; checked 6 September 2026. Proposals and estimates are editable assumptions.</xltc:text>
  </xltc:threadedComment>
  <xltc:threadedComment ref="B58" dT="2026-09-06T03:51:23.542" personId="{6F4332F8-3A5A-42C8-A546-4DE16CF68B83}" id="{B25407F7-922B-4954-AE87-1506308BF660}">
    <xltc:text>Estimate: Core engineering excludes listed specialists. See Sources; checked 6 September 2026. Proposals and estimates are editable assumptions.</xltc:text>
  </xltc:threadedComment>
  <xltc:threadedComment ref="B59" dT="2026-09-06T03:51:23.542" personId="{6F4332F8-3A5A-42C8-A546-4DE16CF68B83}" id="{CEEC1A2A-22B7-4B17-A3F3-CDF3C2AE9C0F}">
    <xltc:text>Estimate: Illustrative; obtain specialist estimates. See Sources; checked 6 September 2026. Proposals and estimates are editable assumptions.</xltc:text>
  </xltc:threadedComment>
  <xltc:threadedComment ref="B60" dT="2026-09-06T03:51:23.542" personId="{6F4332F8-3A5A-42C8-A546-4DE16CF68B83}" id="{28FD6E89-DBA9-4E2D-91BA-ECC26C60E066}">
    <xltc:text>Estimate: Work estimate. See Sources; checked 6 September 2026. Proposals and estimates are editable assumptions.</xltc:text>
  </xltc:threadedComment>
  <xltc:threadedComment ref="B61" dT="2026-09-06T03:51:23.542" personId="{6F4332F8-3A5A-42C8-A546-4DE16CF68B83}" id="{A5183736-1AB7-4034-B40D-7A3CAF74EDD9}">
    <xltc:text>Estimate: Not a supplier quote. See Sources; checked 6 September 2026. Proposals and estimates are editable assumptions.</xltc:text>
  </xltc:threadedComment>
  <xltc:threadedComment ref="B62" dT="2026-09-06T03:51:23.542" personId="{6F4332F8-3A5A-42C8-A546-4DE16CF68B83}" id="{F839A38B-8A08-403F-9F56-76D16BE877F5}">
    <xltc:text>Estimate: Content review and pilot. See Sources; checked 6 September 2026. Proposals and estimates are editable assumptions.</xltc:text>
  </xltc:threadedComment>
  <xltc:threadedComment ref="B63" dT="2026-09-06T03:51:23.542" personId="{6F4332F8-3A5A-42C8-A546-4DE16CF68B83}" id="{1085DAE9-8FD6-4EBF-AB06-ADBC586BF9F8}">
    <xltc:text>Estimate: Not a supplier quote. See Sources; checked 6 September 2026. Proposals and estimates are editable assumptions.</xltc:text>
  </xltc:threadedComment>
  <xltc:threadedComment ref="B64" dT="2026-09-06T03:51:23.542" personId="{6F4332F8-3A5A-42C8-A546-4DE16CF68B83}" id="{D6DC4758-C3F3-4EEC-9AF1-2861DD56673E}">
    <xltc:text>Estimate: Three briefs / pilot asset scope to estimate. See Sources; checked 6 September 2026. Proposals and estimates are editable assumptions.</xltc:text>
  </xltc:threadedComment>
  <xltc:threadedComment ref="B65" dT="2026-09-06T03:51:23.542" personId="{6F4332F8-3A5A-42C8-A546-4DE16CF68B83}" id="{E59468EC-F88D-453B-98C5-80DFCA69D36F}">
    <xltc:text>Estimate: Not a supplier quote. See Sources; checked 6 September 2026. Proposals and estimates are editable assumptions.</xltc:text>
  </xltc:threadedComment>
  <xltc:threadedComment ref="B66" dT="2026-09-06T03:51:23.542" personId="{6F4332F8-3A5A-42C8-A546-4DE16CF68B83}" id="{DA9474A3-285A-485B-A8DC-F6ADCA422698}">
    <xltc:text>Estimate: Australian first-market review. See Sources; checked 6 September 2026. Proposals and estimates are editable assumptions.</xltc:text>
  </xltc:threadedComment>
  <xltc:threadedComment ref="B67" dT="2026-09-06T03:51:23.542" personId="{6F4332F8-3A5A-42C8-A546-4DE16CF68B83}" id="{09064B2B-5FAD-4B9A-AED3-1E92583472B1}">
    <xltc:text>Estimate: Not a supplier quote. See Sources; checked 6 September 2026. Proposals and estimates are editable assumptions.</xltc:text>
  </xltc:threadedComment>
  <xltc:threadedComment ref="B68" dT="2026-09-06T03:51:23.542" personId="{6F4332F8-3A5A-42C8-A546-4DE16CF68B83}" id="{C6096EEC-570C-4D45-A1FA-B4525CD9E3E0}">
    <xltc:text>Estimate: Independent review and verification. See Sources; checked 6 September 2026. Proposals and estimates are editable assumptions.</xltc:text>
  </xltc:threadedComment>
  <xltc:threadedComment ref="B69" dT="2026-09-06T03:51:23.542" personId="{6F4332F8-3A5A-42C8-A546-4DE16CF68B83}" id="{1C7E445D-EAD4-436C-9709-B7016F2A3855}">
    <xltc:text>Estimate: Not a supplier quote. See Sources; checked 6 September 2026. Proposals and estimates are editable assumptions.</xltc:text>
  </xltc:threadedComment>
  <xltc:threadedComment ref="B70" dT="2026-09-06T03:51:23.542" personId="{6F4332F8-3A5A-42C8-A546-4DE16CF68B83}" id="{05FBCB1E-539C-4B8A-A60B-A606C97EBC89}">
    <xltc:text>Estimate: Device availability may alter cost. See Sources; checked 6 September 2026. Proposals and estimates are editable assumptions.</xltc:text>
  </xltc:threadedComment>
  <xltc:threadedComment ref="B71" dT="2026-09-06T03:51:23.542" personId="{6F4332F8-3A5A-42C8-A546-4DE16CF68B83}" id="{A9470DC5-6590-48C9-A169-C07D4EA6B0C3}">
    <xltc:text>Estimate: Legal/account setup allowance. See Sources; checked 6 September 2026. Proposals and estimates are editable assumptions.</xltc:text>
  </xltc:threadedComment>
  <xltc:threadedComment ref="B72" dT="2026-09-06T03:51:23.542" personId="{6F4332F8-3A5A-42C8-A546-4DE16CF68B83}" id="{5AF49EA7-4494-4E8D-A692-8ADC256E26AA}">
    <xltc:text>Estimate: Budget duration, not delivery commitment. See Sources; checked 6 September 2026. Proposals and estimates are editable assumptions.</xltc:text>
  </xltc:threadedComment>
  <xltc:threadedComment ref="B73" dT="2026-09-06T03:51:23.542" personId="{6F4332F8-3A5A-42C8-A546-4DE16CF68B83}" id="{9A0A789C-A826-49D5-A3C3-D504726C0E12}">
    <xltc:text>Estimate: Development services. See Sources; checked 6 September 2026. Proposals and estimates are editable assumptions.</xltc:text>
  </xltc:threadedComment>
  <xltc:threadedComment ref="B74" dT="2026-09-06T03:51:23.542" personId="{6F4332F8-3A5A-42C8-A546-4DE16CF68B83}" id="{0E7B285A-7503-4316-BA47-103E920D99E9}">
    <xltc:text>Estimate: Applied to modeled cash build cost. See Sources; checked 6 September 2026. Proposals and estimates are editable assumptions.</xltc:text>
  </xltc:threadedComment>
  <xltc:threadedComment ref="B75" dT="2026-09-06T03:51:23.542" personId="{6F4332F8-3A5A-42C8-A546-4DE16CF68B83}" id="{44EFE241-34EF-4067-B733-C5E9C44120AE}">
    <xltc:text>Estimate: Excludes uncommissioned core engineering. See Sources; checked 6 September 2026. Proposals and estimates are editable assumptions.</xltc:text>
  </xltc:threadedComment>
  <xltc:threadedComment ref="B76" dT="2026-09-06T03:51:23.542" personId="{6F4332F8-3A5A-42C8-A546-4DE16CF68B83}" id="{03D813ED-F569-413C-AA7F-327C2690CC22}">
    <xltc:text>Assumption: Calendar equivalent, not project schedule. See Sources; checked 6 September 2026. Proposals and estimates are editable assumptions.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faaf3bd8da24840" /><Relationship Type="http://schemas.openxmlformats.org/officeDocument/2006/relationships/vmlDrawing" Target="/xl/drawings/vmldrawing.vml" Id="R1eec0c4747084707" /><Relationship Type="http://schemas.microsoft.com/office/2017/10/relationships/threadedComment" Target="/xl/threadedcomments/threadedcomment.xml" Id="R650389b993a249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" hidden="0" customWidth="1"/>
    <x:col min="3" max="3" width="19" hidden="0" customWidth="1"/>
    <x:col min="4" max="4" width="19" hidden="0" customWidth="1"/>
    <x:col min="5" max="5" width="52" hidden="0" customWidth="1"/>
  </x:cols>
  <x:sheetData>
    <x:row r="1" ht="32" customHeight="1">
      <x:c r="A1" s="3" t="str">
        <x:v>SOCCER APP • SUBSCRIPTIONS &amp; COST MODEL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Review case</x:v>
      </x:c>
      <x:c r="B3" s="5" t="str">
        <x:v>Pilot</x:v>
      </x:c>
      <x:c r="C3" s="5" t="str">
        <x:v>Early paid</x:v>
      </x:c>
      <x:c r="D3" s="5" t="str">
        <x:v>Larger scale</x:v>
      </x:c>
      <x:c r="E3" s="5"/>
    </x:row>
    <x:row r="4" ht="25" customHeight="1">
      <x:c r="A4" s="1"/>
      <x:c r="B4" s="6"/>
      <x:c r="C4" s="6"/>
      <x:c r="D4" s="6"/>
      <x:c r="E4" s="1"/>
    </x:row>
    <x:row r="5" ht="25" customHeight="1">
      <x:c r="A5" s="1" t="str">
        <x:v>Paid families</x:v>
      </x:c>
      <x:c r="B5" s="17" t="n">
        <x:f>'Scenarios'!B4</x:f>
        <x:v>0</x:v>
      </x:c>
      <x:c r="C5" s="17" t="n">
        <x:f>'Scenarios'!C4</x:f>
        <x:v>50</x:v>
      </x:c>
      <x:c r="D5" s="17" t="n">
        <x:f>'Scenarios'!D4</x:f>
        <x:v>1000</x:v>
      </x:c>
      <x:c r="E5" s="1"/>
    </x:row>
    <x:row r="6" ht="25" customHeight="1">
      <x:c r="A6" s="1" t="str">
        <x:v>Paid clubs</x:v>
      </x:c>
      <x:c r="B6" s="17" t="n">
        <x:f>'Scenarios'!B5</x:f>
        <x:v>0</x:v>
      </x:c>
      <x:c r="C6" s="17" t="n">
        <x:f>'Scenarios'!C5</x:f>
        <x:v>3</x:v>
      </x:c>
      <x:c r="D6" s="17" t="n">
        <x:f>'Scenarios'!D5</x:f>
        <x:v>30</x:v>
      </x:c>
      <x:c r="E6" s="1"/>
    </x:row>
    <x:row r="7" ht="25" customHeight="1">
      <x:c r="A7" s="1" t="str">
        <x:v>Licensed club seats</x:v>
      </x:c>
      <x:c r="B7" s="17" t="n">
        <x:f>'Scenarios'!B18</x:f>
        <x:v>0</x:v>
      </x:c>
      <x:c r="C7" s="17" t="n">
        <x:f>'Scenarios'!C18</x:f>
        <x:v>150</x:v>
      </x:c>
      <x:c r="D7" s="17" t="n">
        <x:f>'Scenarios'!D18</x:f>
        <x:v>3000</x:v>
      </x:c>
      <x:c r="E7" s="1"/>
    </x:row>
    <x:row r="8" ht="25" customHeight="1">
      <x:c r="A8" s="1" t="str">
        <x:v>Unique active players</x:v>
      </x:c>
      <x:c r="B8" s="17" t="n">
        <x:f>'Scenarios'!B22</x:f>
        <x:v>20</x:v>
      </x:c>
      <x:c r="C8" s="17" t="n">
        <x:f>'Scenarios'!C22</x:f>
        <x:v>381</x:v>
      </x:c>
      <x:c r="D8" s="17" t="n">
        <x:f>'Scenarios'!D22</x:f>
        <x:v>5620</x:v>
      </x:c>
      <x:c r="E8" s="1"/>
    </x:row>
    <x:row r="9" ht="25" customHeight="1">
      <x:c r="A9" s="1"/>
      <x:c r="B9" s="15"/>
      <x:c r="C9" s="15"/>
      <x:c r="D9" s="15"/>
      <x:c r="E9" s="1"/>
    </x:row>
    <x:row r="10" ht="25" customHeight="1">
      <x:c r="A10" s="1" t="str">
        <x:v>Monthly revenue ex GST · AUD</x:v>
      </x:c>
      <x:c r="B10" s="16" t="n">
        <x:f>'Scenarios'!B28</x:f>
        <x:v>0</x:v>
      </x:c>
      <x:c r="C10" s="16" t="n">
        <x:f>'Scenarios'!C28</x:f>
        <x:v>1182.75</x:v>
      </x:c>
      <x:c r="D10" s="16" t="n">
        <x:f>'Scenarios'!D28</x:f>
        <x:v>24152.5</x:v>
      </x:c>
      <x:c r="E10" s="1"/>
    </x:row>
    <x:row r="11" ht="25" customHeight="1">
      <x:c r="A11" s="1" t="str">
        <x:v>Billing costs · AUD</x:v>
      </x:c>
      <x:c r="B11" s="16" t="n">
        <x:f>'Scenarios'!B38</x:f>
        <x:v>0</x:v>
      </x:c>
      <x:c r="C11" s="16" t="n">
        <x:f>'Scenarios'!C38</x:f>
        <x:v>92.53338</x:v>
      </x:c>
      <x:c r="D11" s="16" t="n">
        <x:f>'Scenarios'!D38</x:f>
        <x:v>1953.1826</x:v>
      </x:c>
      <x:c r="E11" s="1"/>
    </x:row>
    <x:row r="12" ht="25" customHeight="1">
      <x:c r="A12" s="1" t="str">
        <x:v>Cloud services · AUD</x:v>
      </x:c>
      <x:c r="B12" s="16" t="n">
        <x:f>'Scenarios'!B50</x:f>
        <x:v>127.87159</x:v>
      </x:c>
      <x:c r="C12" s="16" t="n">
        <x:f>'Scenarios'!C50</x:f>
        <x:v>244.208879025</x:v>
      </x:c>
      <x:c r="D12" s="16" t="n">
        <x:f>'Scenarios'!D50</x:f>
        <x:v>3133.023230500001</x:v>
      </x:c>
      <x:c r="E12" s="1"/>
    </x:row>
    <x:row r="13" ht="25" customHeight="1">
      <x:c r="A13" s="1" t="str">
        <x:v>Tools / agents · AUD</x:v>
      </x:c>
      <x:c r="B13" s="16" t="n">
        <x:f>'Scenarios'!B51</x:f>
        <x:v>155</x:v>
      </x:c>
      <x:c r="C13" s="16" t="n">
        <x:f>'Scenarios'!C51</x:f>
        <x:v>232.5</x:v>
      </x:c>
      <x:c r="D13" s="16" t="n">
        <x:f>'Scenarios'!D51</x:f>
        <x:v>387.5</x:v>
      </x:c>
      <x:c r="E13" s="1"/>
    </x:row>
    <x:row r="14" ht="25" customHeight="1">
      <x:c r="A14" s="1" t="str">
        <x:v>Support economic cost · AUD</x:v>
      </x:c>
      <x:c r="B14" s="16" t="n">
        <x:f>'Scenarios'!B53</x:f>
        <x:v>53.333333333333336</x:v>
      </x:c>
      <x:c r="C14" s="16" t="n">
        <x:f>'Scenarios'!C53</x:f>
        <x:v>266.66666666666663</x:v>
      </x:c>
      <x:c r="D14" s="16" t="n">
        <x:f>'Scenarios'!D53</x:f>
        <x:v>3750</x:v>
      </x:c>
      <x:c r="E14" s="1"/>
    </x:row>
    <x:row r="15" ht="25" customHeight="1">
      <x:c r="A15" s="1" t="str">
        <x:v>Business / maintenance · AUD</x:v>
      </x:c>
      <x:c r="B15" s="16" t="n">
        <x:f>'Scenarios'!B54</x:f>
        <x:v>500</x:v>
      </x:c>
      <x:c r="C15" s="16" t="n">
        <x:f>'Scenarios'!C54</x:f>
        <x:v>1250</x:v>
      </x:c>
      <x:c r="D15" s="16" t="n">
        <x:f>'Scenarios'!D54</x:f>
        <x:v>4500</x:v>
      </x:c>
      <x:c r="E15" s="1"/>
    </x:row>
    <x:row r="16" ht="25" customHeight="1">
      <x:c r="A16" s="1"/>
      <x:c r="B16" s="15"/>
      <x:c r="C16" s="15"/>
      <x:c r="D16" s="15"/>
      <x:c r="E16" s="1"/>
    </x:row>
    <x:row r="17" ht="25" customHeight="1">
      <x:c r="A17" s="1" t="str">
        <x:v>Contribution before founder target · AUD</x:v>
      </x:c>
      <x:c r="B17" s="16" t="n">
        <x:f>'Scenarios'!B55</x:f>
        <x:v>-836.2049233333332</x:v>
      </x:c>
      <x:c r="C17" s="16" t="n">
        <x:f>'Scenarios'!C55</x:f>
        <x:v>-903.1589256916667</x:v>
      </x:c>
      <x:c r="D17" s="16" t="n">
        <x:f>'Scenarios'!D55</x:f>
        <x:v>10428.794169499997</x:v>
      </x:c>
      <x:c r="E17" s="1"/>
    </x:row>
    <x:row r="18" ht="25" customHeight="1">
      <x:c r="A18" s="1" t="str">
        <x:v>Founder target · AUD</x:v>
      </x:c>
      <x:c r="B18" s="16" t="n">
        <x:f>'Scenarios'!B16</x:f>
        <x:v>0</x:v>
      </x:c>
      <x:c r="C18" s="16" t="n">
        <x:f>'Scenarios'!C16</x:f>
        <x:v>5000</x:v>
      </x:c>
      <x:c r="D18" s="16" t="n">
        <x:f>'Scenarios'!D16</x:f>
        <x:v>7000</x:v>
      </x:c>
      <x:c r="E18" s="1"/>
    </x:row>
    <x:row r="19" ht="25" customHeight="1">
      <x:c r="A19" s="1" t="str">
        <x:v>Contribution after founder target · AUD</x:v>
      </x:c>
      <x:c r="B19" s="16" t="n">
        <x:f>'Scenarios'!B56</x:f>
        <x:v>-836.2049233333332</x:v>
      </x:c>
      <x:c r="C19" s="16" t="n">
        <x:f>'Scenarios'!C56</x:f>
        <x:v>-5903.158925691667</x:v>
      </x:c>
      <x:c r="D19" s="16" t="n">
        <x:f>'Scenarios'!D56</x:f>
        <x:v>3428.794169499997</x:v>
      </x:c>
      <x:c r="E19" s="1"/>
    </x:row>
    <x:row r="20" ht="25" customHeight="1">
      <x:c r="A20" s="1"/>
      <x:c r="B20" s="15"/>
      <x:c r="C20" s="15"/>
      <x:c r="D20" s="15"/>
      <x:c r="E20" s="1"/>
    </x:row>
    <x:row r="21" ht="25" customHeight="1">
      <x:c r="A21" s="1" t="str">
        <x:v>Active video GB</x:v>
      </x:c>
      <x:c r="B21" s="15" t="n">
        <x:f>'Scenarios'!B41</x:f>
        <x:v>59.400000000000006</x:v>
      </x:c>
      <x:c r="C21" s="15" t="n">
        <x:f>'Scenarios'!C41</x:f>
        <x:v>268.785</x:v>
      </x:c>
      <x:c r="D21" s="15" t="n">
        <x:f>'Scenarios'!D41</x:f>
        <x:v>5375.700000000001</x:v>
      </x:c>
      <x:c r="E21" s="1"/>
    </x:row>
    <x:row r="22" ht="25" customHeight="1">
      <x:c r="A22" s="1" t="str">
        <x:v>Recovery storage GB</x:v>
      </x:c>
      <x:c r="B22" s="15" t="n">
        <x:f>'Scenarios'!B44</x:f>
        <x:v>83.26</x:v>
      </x:c>
      <x:c r="C22" s="15" t="n">
        <x:f>'Scenarios'!C44</x:f>
        <x:v>341.5015</x:v>
      </x:c>
      <x:c r="D22" s="15" t="n">
        <x:f>'Scenarios'!D44</x:f>
        <x:v>6640.030000000001</x:v>
      </x:c>
      <x:c r="E22" s="1"/>
    </x:row>
    <x:row r="23" ht="25" customHeight="1">
      <x:c r="A23" s="1"/>
      <x:c r="B23" s="6"/>
      <x:c r="C23" s="6"/>
      <x:c r="D23" s="6"/>
      <x:c r="E23" s="1"/>
    </x:row>
    <x:row r="24" ht="25" customHeight="1">
      <x:c r="A24" s="1"/>
      <x:c r="B24" s="6"/>
      <x:c r="C24" s="6"/>
      <x:c r="D24" s="6"/>
      <x:c r="E24" s="1"/>
    </x:row>
    <x:row r="25" ht="40" customHeight="1">
      <x:c r="A25" s="9" t="str">
        <x:v>Planning proposals only; no working app, database, live billing or supplier quote.</x:v>
      </x:c>
      <x:c r="B25" s="11"/>
      <x:c r="C25" s="11"/>
      <x:c r="D25" s="11"/>
      <x:c r="E25" s="1"/>
    </x:row>
    <x:row r="26" ht="40" customHeight="1">
      <x:c r="A26" s="9" t="str">
        <x:v>Blue figures are editable. Inputs feed formulas; Scenarios has editable customer/cost drivers.</x:v>
      </x:c>
      <x:c r="B26" s="11"/>
      <x:c r="C26" s="11"/>
      <x:c r="D26" s="11"/>
      <x:c r="E26" s="1"/>
    </x:row>
    <x:row r="27" ht="40" customHeight="1">
      <x:c r="A27" s="9" t="str">
        <x:v>Currency: AUD unless explicitly USD. FX 1.55 is an assumption. Family price includes assumed GST.</x:v>
      </x:c>
      <x:c r="B27" s="11"/>
      <x:c r="C27" s="11"/>
      <x:c r="D27" s="11"/>
      <x:c r="E27" s="1"/>
    </x:row>
    <x:row r="28" ht="40" customHeight="1">
      <x:c r="A28" s="9" t="str">
        <x:v>Prices: Family $14.99/month or $119.99/year; Club $5/seat/month or $48/year ex GST, minimum 25.</x:v>
      </x:c>
      <x:c r="B28" s="11"/>
      <x:c r="C28" s="11"/>
      <x:c r="D28" s="11"/>
      <x:c r="E28" s="1"/>
    </x:row>
    <x:row r="29" ht="40" customHeight="1">
      <x:c r="A29" s="9" t="str">
        <x:v>Starter uses local recordings. Family has 20 GB; clubs pool 5 GB per licensed seat. Cloud expires after 30 days.</x:v>
      </x:c>
      <x:c r="B29" s="11"/>
      <x:c r="C29" s="11"/>
      <x:c r="D29" s="11"/>
      <x:c r="E29" s="1"/>
    </x:row>
    <x:row r="30" ht="40" customHeight="1">
      <x:c r="A30" s="9" t="str">
        <x:v>Invited club coaches are included. Independent Coach Pro is a later optional product.</x:v>
      </x:c>
      <x:c r="B30" s="11"/>
      <x:c r="C30" s="11"/>
      <x:c r="D30" s="11"/>
      <x:c r="E30" s="1"/>
    </x:row>
    <x:row r="31" ht="40" customHeight="1">
      <x:c r="A31" s="9" t="str">
        <x:v>Store 15% requires eligibility; stress-test 30%. Stripe domestic card assumption excludes international/FX fees.</x:v>
      </x:c>
      <x:c r="B31" s="11"/>
      <x:c r="C31" s="11"/>
      <x:c r="D31" s="11"/>
      <x:c r="E31" s="1"/>
    </x:row>
    <x:row r="32" ht="40" customHeight="1">
      <x:c r="A32" s="9" t="str">
        <x:v>RevenueCat bills actual tracked monthly receipts; annual renewal peaks can cross its threshold.</x:v>
      </x:c>
      <x:c r="B32" s="11"/>
      <x:c r="C32" s="11"/>
      <x:c r="D32" s="11"/>
      <x:c r="E32" s="1"/>
    </x:row>
    <x:row r="33" ht="40" customHeight="1">
      <x:c r="A33" s="9" t="str">
        <x:v>Cases are alternative steady-state sizes, not dated forecasts. Losses are valid model results.</x:v>
      </x:c>
      <x:c r="B33" s="11"/>
      <x:c r="C33" s="11"/>
      <x:c r="D33" s="11"/>
      <x:c r="E33" s="1"/>
    </x:row>
    <x:row r="34" ht="40" customHeight="1">
      <x:c r="A34" s="9" t="str">
        <x:v>Contribution includes support labor; after-target is not net profit or cash flow. Build investment is separate.</x:v>
      </x:c>
      <x:c r="B34" s="11"/>
      <x:c r="C34" s="11"/>
      <x:c r="D34" s="11"/>
      <x:c r="E34" s="1"/>
    </x:row>
    <x:row r="35" ht="40" customHeight="1">
      <x:c r="A35" s="9" t="str">
        <x:v>Read the end-to-end plan for consent, offline limits, billing rules and hosting/recovery architecture.</x:v>
      </x:c>
      <x:c r="B35" s="11"/>
      <x:c r="C35" s="11"/>
      <x:c r="D35" s="11"/>
      <x:c r="E35" s="1"/>
    </x:row>
    <x:row r="36" ht="25" customHeight="1">
      <x:c r="A36" s="1"/>
      <x:c r="B36" s="6"/>
      <x:c r="C36" s="6"/>
      <x:c r="D36" s="6"/>
      <x:c r="E36" s="1"/>
    </x:row>
    <x:row r="37" ht="25" customHeight="1">
      <x:c r="A37" s="1"/>
      <x:c r="B37" s="6"/>
      <x:c r="C37" s="6"/>
      <x:c r="D37" s="6"/>
      <x:c r="E37" s="1"/>
    </x:row>
    <x:row r="38" ht="25" customHeight="1">
      <x:c r="A38" s="1"/>
      <x:c r="B38" s="6"/>
      <x:c r="C38" s="6"/>
      <x:c r="D38" s="6"/>
      <x:c r="E38" s="1"/>
    </x:row>
    <x:row r="39" ht="25" customHeight="1">
      <x:c r="A39" s="1"/>
      <x:c r="B39" s="6"/>
      <x:c r="C39" s="6"/>
      <x:c r="D39" s="6"/>
      <x:c r="E39" s="1"/>
    </x:row>
    <x:row r="40" ht="25" customHeight="1">
      <x:c r="A40" s="1"/>
      <x:c r="B40" s="6"/>
      <x:c r="C40" s="6"/>
      <x:c r="D40" s="6"/>
      <x:c r="E40" s="1"/>
    </x:row>
    <x:row r="41" ht="25" customHeight="1">
      <x:c r="A41" s="1"/>
      <x:c r="B41" s="6"/>
      <x:c r="C41" s="6"/>
      <x:c r="D41" s="6"/>
      <x:c r="E41" s="1"/>
    </x:row>
    <x:row r="42" ht="25" customHeight="1">
      <x:c r="A42" s="1"/>
      <x:c r="B42" s="6"/>
      <x:c r="C42" s="6"/>
      <x:c r="D42" s="6"/>
      <x:c r="E42" s="1"/>
    </x:row>
    <x:row r="43" ht="25" customHeight="1">
      <x:c r="A43" s="1"/>
      <x:c r="B43" s="6"/>
      <x:c r="C43" s="6"/>
      <x:c r="D43" s="6"/>
      <x:c r="E43" s="1"/>
    </x:row>
    <x:row r="44" ht="25" customHeight="1">
      <x:c r="A44" s="1"/>
      <x:c r="B44" s="6"/>
      <x:c r="C44" s="6"/>
      <x:c r="D44" s="6"/>
      <x:c r="E44" s="1"/>
    </x:row>
    <x:row r="45" ht="25" customHeight="1">
      <x:c r="A45" s="1"/>
      <x:c r="B45" s="6"/>
      <x:c r="C45" s="6"/>
      <x:c r="D45" s="6"/>
      <x:c r="E45" s="1"/>
    </x:row>
    <x:row r="46" ht="25" customHeight="1">
      <x:c r="A46" s="1"/>
      <x:c r="B46" s="6"/>
      <x:c r="C46" s="6"/>
      <x:c r="D46" s="6"/>
      <x:c r="E46" s="1"/>
    </x:row>
    <x:row r="47" ht="25" customHeight="1">
      <x:c r="A47" s="1"/>
      <x:c r="B47" s="6"/>
      <x:c r="C47" s="6"/>
      <x:c r="D47" s="6"/>
      <x:c r="E47" s="1"/>
    </x:row>
    <x:row r="48" ht="25" customHeight="1">
      <x:c r="A48" s="1"/>
      <x:c r="B48" s="6"/>
      <x:c r="C48" s="6"/>
      <x:c r="D48" s="6"/>
      <x:c r="E48" s="1"/>
    </x:row>
    <x:row r="49" ht="25" customHeight="1">
      <x:c r="A49" s="1"/>
      <x:c r="B49" s="6"/>
      <x:c r="C49" s="6"/>
      <x:c r="D49" s="6"/>
      <x:c r="E49" s="1"/>
    </x:row>
    <x:row r="50" ht="25" customHeight="1">
      <x:c r="A50" s="1"/>
      <x:c r="B50" s="6"/>
      <x:c r="C50" s="6"/>
      <x:c r="D50" s="6"/>
      <x:c r="E50" s="1"/>
    </x:row>
    <x:row r="51" ht="25" customHeight="1">
      <x:c r="A51" s="1"/>
      <x:c r="B51" s="6"/>
      <x:c r="C51" s="6"/>
      <x:c r="D51" s="6"/>
      <x:c r="E51" s="1"/>
    </x:row>
    <x:row r="52" ht="25" customHeight="1">
      <x:c r="A52" s="1"/>
      <x:c r="B52" s="6"/>
      <x:c r="C52" s="6"/>
      <x:c r="D52" s="6"/>
      <x:c r="E52" s="1"/>
    </x:row>
    <x:row r="53" ht="25" customHeight="1">
      <x:c r="A53" s="1"/>
      <x:c r="B53" s="6"/>
      <x:c r="C53" s="6"/>
      <x:c r="D53" s="6"/>
      <x:c r="E53" s="1"/>
    </x:row>
    <x:row r="54" ht="25" customHeight="1">
      <x:c r="A54" s="1"/>
      <x:c r="B54" s="6"/>
      <x:c r="C54" s="6"/>
      <x:c r="D54" s="6"/>
      <x:c r="E54" s="1"/>
    </x:row>
    <x:row r="55" ht="25" customHeight="1">
      <x:c r="A55" s="1"/>
      <x:c r="B55" s="6"/>
      <x:c r="C55" s="6"/>
      <x:c r="D55" s="6"/>
      <x:c r="E55" s="1"/>
    </x:row>
    <x:row r="56" ht="25" customHeight="1">
      <x:c r="A56" s="1"/>
      <x:c r="B56" s="6"/>
      <x:c r="C56" s="6"/>
      <x:c r="D56" s="6"/>
      <x:c r="E56" s="1"/>
    </x:row>
    <x:row r="57" ht="25" customHeight="1">
      <x:c r="A57" s="1"/>
      <x:c r="B57" s="6"/>
      <x:c r="C57" s="6"/>
      <x:c r="D57" s="6"/>
      <x:c r="E57" s="1"/>
    </x:row>
    <x:row r="58" ht="25" customHeight="1">
      <x:c r="A58" s="1"/>
      <x:c r="B58" s="6"/>
      <x:c r="C58" s="6"/>
      <x:c r="D58" s="6"/>
      <x:c r="E58" s="1"/>
    </x:row>
    <x:row r="59" ht="25" customHeight="1">
      <x:c r="A59" s="1"/>
      <x:c r="B59" s="6"/>
      <x:c r="C59" s="6"/>
      <x:c r="D59" s="6"/>
      <x:c r="E59" s="1"/>
    </x:row>
    <x:row r="60" ht="25" customHeight="1">
      <x:c r="A60" s="1"/>
      <x:c r="B60" s="6"/>
      <x:c r="C60" s="6"/>
      <x:c r="D60" s="6"/>
      <x:c r="E60" s="1"/>
    </x:row>
    <x:row r="61" ht="25" customHeight="1">
      <x:c r="A61" s="1"/>
      <x:c r="B61" s="6"/>
      <x:c r="C61" s="6"/>
      <x:c r="D61" s="6"/>
      <x:c r="E61" s="1"/>
    </x:row>
    <x:row r="62" ht="25" customHeight="1">
      <x:c r="A62" s="1"/>
      <x:c r="B62" s="6"/>
      <x:c r="C62" s="6"/>
      <x:c r="D62" s="6"/>
      <x:c r="E62" s="1"/>
    </x:row>
    <x:row r="63" ht="25" customHeight="1">
      <x:c r="A63" s="1"/>
      <x:c r="B63" s="6"/>
      <x:c r="C63" s="6"/>
      <x:c r="D63" s="6"/>
      <x:c r="E63" s="1"/>
    </x:row>
    <x:row r="64" ht="25" customHeight="1">
      <x:c r="A64" s="1"/>
      <x:c r="B64" s="6"/>
      <x:c r="C64" s="6"/>
      <x:c r="D64" s="6"/>
      <x:c r="E64" s="1"/>
    </x:row>
    <x:row r="65" ht="25" customHeight="1">
      <x:c r="A65" s="1"/>
      <x:c r="B65" s="6"/>
      <x:c r="C65" s="6"/>
      <x:c r="D65" s="6"/>
      <x:c r="E65" s="1"/>
    </x:row>
    <x:row r="66" ht="25" customHeight="1">
      <x:c r="A66" s="1"/>
      <x:c r="B66" s="6"/>
      <x:c r="C66" s="6"/>
      <x:c r="D66" s="6"/>
      <x:c r="E66" s="1"/>
    </x:row>
    <x:row r="67" ht="25" customHeight="1">
      <x:c r="A67" s="1"/>
      <x:c r="B67" s="6"/>
      <x:c r="C67" s="6"/>
      <x:c r="D67" s="6"/>
      <x:c r="E67" s="1"/>
    </x:row>
    <x:row r="68" ht="25" customHeight="1">
      <x:c r="A68" s="1"/>
      <x:c r="B68" s="6"/>
      <x:c r="C68" s="6"/>
      <x:c r="D68" s="6"/>
      <x:c r="E68" s="1"/>
    </x:row>
    <x:row r="69" ht="25" customHeight="1">
      <x:c r="A69" s="1"/>
      <x:c r="B69" s="6"/>
      <x:c r="C69" s="6"/>
      <x:c r="D69" s="6"/>
      <x:c r="E69" s="1"/>
    </x:row>
    <x:row r="70" ht="25" customHeight="1">
      <x:c r="A70" s="1"/>
      <x:c r="B70" s="6"/>
      <x:c r="C70" s="6"/>
      <x:c r="D70" s="6"/>
      <x:c r="E70" s="1"/>
    </x:row>
    <x:row r="71" ht="25" customHeight="1">
      <x:c r="A71" s="1"/>
      <x:c r="B71" s="6"/>
      <x:c r="C71" s="6"/>
      <x:c r="D71" s="6"/>
      <x:c r="E71" s="1"/>
    </x:row>
    <x:row r="72" ht="25" customHeight="1">
      <x:c r="A72" s="1"/>
      <x:c r="B72" s="6"/>
      <x:c r="C72" s="6"/>
      <x:c r="D72" s="6"/>
      <x:c r="E72" s="1"/>
    </x:row>
    <x:row r="73" ht="25" customHeight="1">
      <x:c r="A73" s="1"/>
      <x:c r="B73" s="6"/>
      <x:c r="C73" s="6"/>
      <x:c r="D73" s="6"/>
      <x:c r="E73" s="1"/>
    </x:row>
    <x:row r="74" ht="25" customHeight="1">
      <x:c r="A74" s="1"/>
      <x:c r="B74" s="6"/>
      <x:c r="C74" s="6"/>
      <x:c r="D74" s="6"/>
      <x:c r="E74" s="1"/>
    </x:row>
    <x:row r="75" ht="25" customHeight="1">
      <x:c r="A75" s="1"/>
      <x:c r="B75" s="6"/>
      <x:c r="C75" s="6"/>
      <x:c r="D75" s="6"/>
      <x:c r="E75" s="1"/>
    </x:row>
    <x:row r="76" ht="25" customHeight="1">
      <x:c r="A76" s="1"/>
      <x:c r="B76" s="6"/>
      <x:c r="C76" s="6"/>
      <x:c r="D76" s="6"/>
      <x:c r="E76" s="1"/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1:D1"/>
  </x:mergeCells>
  <x:conditionalFormatting sqref="B4:D6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23" hidden="0" customWidth="1"/>
    <x:col min="4" max="4" width="17" hidden="0" customWidth="1"/>
    <x:col min="5" max="5" width="60" hidden="0" customWidth="1"/>
  </x:cols>
  <x:sheetData>
    <x:row r="1" ht="32" customHeight="1">
      <x:c r="A1" s="3" t="str">
        <x:v>EDITABLE ASSUMPTIONS • AUD unless USD stated • 6 September 2026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Input</x:v>
      </x:c>
      <x:c r="B3" s="5" t="str">
        <x:v>Value</x:v>
      </x:c>
      <x:c r="C3" s="5" t="str">
        <x:v>Unit</x:v>
      </x:c>
      <x:c r="D3" s="5" t="str">
        <x:v>Basis / source</x:v>
      </x:c>
      <x:c r="E3" s="5" t="str">
        <x:v>Interpretation</x:v>
      </x:c>
    </x:row>
    <x:row r="4" ht="36" customHeight="1">
      <x:c r="A4" s="9" t="str">
        <x:v>FX</x:v>
      </x:c>
      <x:c r="B4" s="10" t="n">
        <x:v>1.55</x:v>
      </x:c>
      <x:c r="C4" s="11" t="str">
        <x:v>AUD per USD</x:v>
      </x:c>
      <x:c r="D4" s="11" t="str">
        <x:v>Assumption</x:v>
      </x:c>
      <x:c r="E4" s="9" t="str">
        <x:v>Planning conversion; not a live exchange rate</x:v>
      </x:c>
    </x:row>
    <x:row r="5" ht="36" customHeight="1">
      <x:c r="A5" s="9" t="str">
        <x:v>GST</x:v>
      </x:c>
      <x:c r="B5" s="13" t="n">
        <x:v>0.1</x:v>
      </x:c>
      <x:c r="C5" s="11" t="str">
        <x:v>fraction</x:v>
      </x:c>
      <x:c r="D5" s="11" t="str">
        <x:v>ATO</x:v>
      </x:c>
      <x:c r="E5" s="9" t="str">
        <x:v>Assumes GST registration; verify with accountant</x:v>
      </x:c>
    </x:row>
    <x:row r="6" ht="36" customHeight="1">
      <x:c r="A6" s="9" t="str">
        <x:v>Family monthly</x:v>
      </x:c>
      <x:c r="B6" s="10" t="n">
        <x:v>14.99</x:v>
      </x:c>
      <x:c r="C6" s="11" t="str">
        <x:v>AUD incl GST</x:v>
      </x:c>
      <x:c r="D6" s="11" t="str">
        <x:v>Proposal</x:v>
      </x:c>
      <x:c r="E6" s="9" t="str">
        <x:v>Up to four profiles</x:v>
      </x:c>
    </x:row>
    <x:row r="7" ht="36" customHeight="1">
      <x:c r="A7" s="9" t="str">
        <x:v>Family annual</x:v>
      </x:c>
      <x:c r="B7" s="10" t="n">
        <x:v>119.99</x:v>
      </x:c>
      <x:c r="C7" s="11" t="str">
        <x:v>AUD incl GST</x:v>
      </x:c>
      <x:c r="D7" s="11" t="str">
        <x:v>Proposal</x:v>
      </x:c>
      <x:c r="E7" s="9" t="str">
        <x:v>Annual upfront; revenue normalized monthly</x:v>
      </x:c>
    </x:row>
    <x:row r="8" ht="36" customHeight="1">
      <x:c r="A8" s="9" t="str">
        <x:v>Family monthly share</x:v>
      </x:c>
      <x:c r="B8" s="13" t="n">
        <x:v>0.4</x:v>
      </x:c>
      <x:c r="C8" s="11" t="str">
        <x:v>fraction</x:v>
      </x:c>
      <x:c r="D8" s="11" t="str">
        <x:v>Assumption</x:v>
      </x:c>
      <x:c r="E8" s="9" t="str">
        <x:v>Remaining customers annual</x:v>
      </x:c>
    </x:row>
    <x:row r="9" ht="36" customHeight="1">
      <x:c r="A9" s="9" t="str">
        <x:v>Family store share</x:v>
      </x:c>
      <x:c r="B9" s="13" t="n">
        <x:v>0.7</x:v>
      </x:c>
      <x:c r="C9" s="11" t="str">
        <x:v>fraction</x:v>
      </x:c>
      <x:c r="D9" s="11" t="str">
        <x:v>Assumption</x:v>
      </x:c>
      <x:c r="E9" s="9" t="str">
        <x:v>Remaining customers Stripe web</x:v>
      </x:c>
    </x:row>
    <x:row r="10" ht="36" customHeight="1">
      <x:c r="A10" s="9" t="str">
        <x:v>Active players per family</x:v>
      </x:c>
      <x:c r="B10" s="10" t="n">
        <x:v>2</x:v>
      </x:c>
      <x:c r="C10" s="11" t="str">
        <x:v>players</x:v>
      </x:c>
      <x:c r="D10" s="11" t="str">
        <x:v>Assumption</x:v>
      </x:c>
      <x:c r="E10" s="9" t="str">
        <x:v>Maximum four profiles</x:v>
      </x:c>
    </x:row>
    <x:row r="11" ht="36" customHeight="1">
      <x:c r="A11" s="9" t="str">
        <x:v>Family cloud quota</x:v>
      </x:c>
      <x:c r="B11" s="10" t="n">
        <x:v>20</x:v>
      </x:c>
      <x:c r="C11" s="11" t="str">
        <x:v>GB</x:v>
      </x:c>
      <x:c r="D11" s="11" t="str">
        <x:v>Proposal</x:v>
      </x:c>
      <x:c r="E11" s="9" t="str">
        <x:v>Shared household allowance</x:v>
      </x:c>
    </x:row>
    <x:row r="12" ht="36" customHeight="1">
      <x:c r="A12" s="9" t="str">
        <x:v>Club monthly seat</x:v>
      </x:c>
      <x:c r="B12" s="10" t="n">
        <x:v>5</x:v>
      </x:c>
      <x:c r="C12" s="11" t="str">
        <x:v>AUD ex GST</x:v>
      </x:c>
      <x:c r="D12" s="11" t="str">
        <x:v>Proposal</x:v>
      </x:c>
      <x:c r="E12" s="9" t="str">
        <x:v>Minimum 25 licensed seats</x:v>
      </x:c>
    </x:row>
    <x:row r="13" ht="36" customHeight="1">
      <x:c r="A13" s="9" t="str">
        <x:v>Club annual seat</x:v>
      </x:c>
      <x:c r="B13" s="10" t="n">
        <x:v>48</x:v>
      </x:c>
      <x:c r="C13" s="11" t="str">
        <x:v>AUD ex GST</x:v>
      </x:c>
      <x:c r="D13" s="11" t="str">
        <x:v>Proposal</x:v>
      </x:c>
      <x:c r="E13" s="9" t="str">
        <x:v>Annual upfront per seat</x:v>
      </x:c>
    </x:row>
    <x:row r="14" ht="36" customHeight="1">
      <x:c r="A14" s="9" t="str">
        <x:v>Club monthly share</x:v>
      </x:c>
      <x:c r="B14" s="13" t="n">
        <x:v>0.25</x:v>
      </x:c>
      <x:c r="C14" s="11" t="str">
        <x:v>fraction</x:v>
      </x:c>
      <x:c r="D14" s="11" t="str">
        <x:v>Assumption</x:v>
      </x:c>
      <x:c r="E14" s="9" t="str">
        <x:v>Remaining clubs annual</x:v>
      </x:c>
    </x:row>
    <x:row r="15" ht="36" customHeight="1">
      <x:c r="A15" s="9" t="str">
        <x:v>Club minimum seats</x:v>
      </x:c>
      <x:c r="B15" s="10" t="n">
        <x:v>25</x:v>
      </x:c>
      <x:c r="C15" s="11" t="str">
        <x:v>seats</x:v>
      </x:c>
      <x:c r="D15" s="11" t="str">
        <x:v>Proposal</x:v>
      </x:c>
      <x:c r="E15" s="9" t="str">
        <x:v>Licensed seats, not monthly active users</x:v>
      </x:c>
    </x:row>
    <x:row r="16" ht="36" customHeight="1">
      <x:c r="A16" s="9" t="str">
        <x:v>Club active share</x:v>
      </x:c>
      <x:c r="B16" s="13" t="n">
        <x:v>0.6</x:v>
      </x:c>
      <x:c r="C16" s="11" t="str">
        <x:v>fraction</x:v>
      </x:c>
      <x:c r="D16" s="11" t="str">
        <x:v>Assumption</x:v>
      </x:c>
      <x:c r="E16" s="9" t="str">
        <x:v>Usage fraction of licensed players</x:v>
      </x:c>
    </x:row>
    <x:row r="17" ht="36" customHeight="1">
      <x:c r="A17" s="9" t="str">
        <x:v>Club cloud per seat</x:v>
      </x:c>
      <x:c r="B17" s="10" t="n">
        <x:v>5</x:v>
      </x:c>
      <x:c r="C17" s="11" t="str">
        <x:v>GB</x:v>
      </x:c>
      <x:c r="D17" s="11" t="str">
        <x:v>Proposal</x:v>
      </x:c>
      <x:c r="E17" s="9" t="str">
        <x:v>Pooled; per-player safeguards</x:v>
      </x:c>
    </x:row>
    <x:row r="18" ht="36" customHeight="1">
      <x:c r="A18" s="9" t="str">
        <x:v>Coach monthly</x:v>
      </x:c>
      <x:c r="B18" s="10" t="n">
        <x:v>29</x:v>
      </x:c>
      <x:c r="C18" s="11" t="str">
        <x:v>AUD ex GST</x:v>
      </x:c>
      <x:c r="D18" s="11" t="str">
        <x:v>Proposal</x:v>
      </x:c>
      <x:c r="E18" s="9" t="str">
        <x:v>Later independent Coach Pro</x:v>
      </x:c>
    </x:row>
    <x:row r="19" ht="36" customHeight="1">
      <x:c r="A19" s="9" t="str">
        <x:v>Coach annual</x:v>
      </x:c>
      <x:c r="B19" s="10" t="n">
        <x:v>249</x:v>
      </x:c>
      <x:c r="C19" s="11" t="str">
        <x:v>AUD ex GST</x:v>
      </x:c>
      <x:c r="D19" s="11" t="str">
        <x:v>Proposal</x:v>
      </x:c>
      <x:c r="E19" s="9" t="str">
        <x:v>Not required for invited club coaches</x:v>
      </x:c>
    </x:row>
    <x:row r="20" ht="36" customHeight="1">
      <x:c r="A20" s="9" t="str">
        <x:v>Coach monthly share</x:v>
      </x:c>
      <x:c r="B20" s="13" t="n">
        <x:v>0.5</x:v>
      </x:c>
      <x:c r="C20" s="11" t="str">
        <x:v>fraction</x:v>
      </x:c>
      <x:c r="D20" s="11" t="str">
        <x:v>Assumption</x:v>
      </x:c>
      <x:c r="E20" s="9" t="str">
        <x:v>No extra client video quota</x:v>
      </x:c>
    </x:row>
    <x:row r="21" ht="36" customHeight="1">
      <x:c r="A21" s="9" t="str">
        <x:v>Store fee</x:v>
      </x:c>
      <x:c r="B21" s="13" t="n">
        <x:v>0.15</x:v>
      </x:c>
      <x:c r="C21" s="11" t="str">
        <x:v>fraction</x:v>
      </x:c>
      <x:c r="D21" s="11" t="str">
        <x:v>Stores</x:v>
      </x:c>
      <x:c r="E21" s="9" t="str">
        <x:v>Eligible Apple small-business/Google subscription basis; stress 30%</x:v>
      </x:c>
    </x:row>
    <x:row r="22" ht="36" customHeight="1">
      <x:c r="A22" s="9" t="str">
        <x:v>Stripe percent</x:v>
      </x:c>
      <x:c r="B22" s="13" t="n">
        <x:v>0.017</x:v>
      </x:c>
      <x:c r="C22" s="11" t="str">
        <x:v>fraction</x:v>
      </x:c>
      <x:c r="D22" s="11" t="str">
        <x:v>Stripe</x:v>
      </x:c>
      <x:c r="E22" s="9" t="str">
        <x:v>Domestic Australian cards only</x:v>
      </x:c>
    </x:row>
    <x:row r="23" ht="36" customHeight="1">
      <x:c r="A23" s="9" t="str">
        <x:v>Stripe fixed</x:v>
      </x:c>
      <x:c r="B23" s="10" t="n">
        <x:v>0.3</x:v>
      </x:c>
      <x:c r="C23" s="11" t="str">
        <x:v>AUD per charge</x:v>
      </x:c>
      <x:c r="D23" s="11" t="str">
        <x:v>Stripe</x:v>
      </x:c>
      <x:c r="E23" s="9" t="str">
        <x:v>Annual invoices charged once, not every month</x:v>
      </x:c>
    </x:row>
    <x:row r="24" ht="36" customHeight="1">
      <x:c r="A24" s="9" t="str">
        <x:v>Stripe Billing</x:v>
      </x:c>
      <x:c r="B24" s="13" t="n">
        <x:v>0.007</x:v>
      </x:c>
      <x:c r="C24" s="11" t="str">
        <x:v>fraction</x:v>
      </x:c>
      <x:c r="D24" s="11" t="str">
        <x:v>Stripe Billing</x:v>
      </x:c>
      <x:c r="E24" s="9" t="str">
        <x:v>Additional to payment processing</x:v>
      </x:c>
    </x:row>
    <x:row r="25" ht="36" customHeight="1">
      <x:c r="A25" s="9" t="str">
        <x:v>RevenueCat threshold</x:v>
      </x:c>
      <x:c r="B25" s="10" t="n">
        <x:v>2500</x:v>
      </x:c>
      <x:c r="C25" s="11" t="str">
        <x:v>USD monthly MTR</x:v>
      </x:c>
      <x:c r="D25" s="11" t="str">
        <x:v>RevenueCat</x:v>
      </x:c>
      <x:c r="E25" s="9" t="str">
        <x:v>Actual tracked receipts, not recognized MRR</x:v>
      </x:c>
    </x:row>
    <x:row r="26" ht="36" customHeight="1">
      <x:c r="A26" s="9" t="str">
        <x:v>RevenueCat fee</x:v>
      </x:c>
      <x:c r="B26" s="13" t="n">
        <x:v>0.01</x:v>
      </x:c>
      <x:c r="C26" s="11" t="str">
        <x:v>fraction</x:v>
      </x:c>
      <x:c r="D26" s="11" t="str">
        <x:v>RevenueCat</x:v>
      </x:c>
      <x:c r="E26" s="9" t="str">
        <x:v>Whole tracked revenue above threshold</x:v>
      </x:c>
    </x:row>
    <x:row r="27" ht="36" customHeight="1">
      <x:c r="A27" s="9" t="str">
        <x:v>Collection timing</x:v>
      </x:c>
      <x:c r="B27" s="10" t="n">
        <x:v>1</x:v>
      </x:c>
      <x:c r="C27" s="11" t="str">
        <x:v>multiplier</x:v>
      </x:c>
      <x:c r="D27" s="11" t="str">
        <x:v>Assumption</x:v>
      </x:c>
      <x:c r="E27" s="9" t="str">
        <x:v>Steady-state store receipts proxy; annual renewal peaks differ</x:v>
      </x:c>
    </x:row>
    <x:row r="28" ht="36" customHeight="1">
      <x:c r="A28" s="9" t="str">
        <x:v>Refund reserve</x:v>
      </x:c>
      <x:c r="B28" s="13" t="n">
        <x:v>0.01</x:v>
      </x:c>
      <x:c r="C28" s="11" t="str">
        <x:v>fraction</x:v>
      </x:c>
      <x:c r="D28" s="11" t="str">
        <x:v>Assumption</x:v>
      </x:c>
      <x:c r="E28" s="9" t="str">
        <x:v>Ex-GST revenue reserve; not full chargeback fees</x:v>
      </x:c>
    </x:row>
    <x:row r="29" ht="36" customHeight="1">
      <x:c r="A29" s="9" t="str">
        <x:v>Cloud participation</x:v>
      </x:c>
      <x:c r="B29" s="13" t="n">
        <x:v>0.5</x:v>
      </x:c>
      <x:c r="C29" s="11" t="str">
        <x:v>fraction</x:v>
      </x:c>
      <x:c r="D29" s="11" t="str">
        <x:v>Assumption</x:v>
      </x:c>
      <x:c r="E29" s="9" t="str">
        <x:v>Paid eligible unique players</x:v>
      </x:c>
    </x:row>
    <x:row r="30" ht="36" customHeight="1">
      <x:c r="A30" s="9" t="str">
        <x:v>Sessions per month</x:v>
      </x:c>
      <x:c r="B30" s="10" t="n">
        <x:v>12</x:v>
      </x:c>
      <x:c r="C30" s="11" t="str">
        <x:v>sessions</x:v>
      </x:c>
      <x:c r="D30" s="11" t="str">
        <x:v>Assumption</x:v>
      </x:c>
      <x:c r="E30" s="9" t="str">
        <x:v>Usage input, not coaching prescription</x:v>
      </x:c>
    </x:row>
    <x:row r="31" ht="36" customHeight="1">
      <x:c r="A31" s="9" t="str">
        <x:v>Minutes per session</x:v>
      </x:c>
      <x:c r="B31" s="10" t="n">
        <x:v>15</x:v>
      </x:c>
      <x:c r="C31" s="11" t="str">
        <x:v>minutes</x:v>
      </x:c>
      <x:c r="D31" s="11" t="str">
        <x:v>Assumption</x:v>
      </x:c>
      <x:c r="E31" s="9" t="str">
        <x:v>Usage input</x:v>
      </x:c>
    </x:row>
    <x:row r="32" ht="36" customHeight="1">
      <x:c r="A32" s="9" t="str">
        <x:v>Video bitrate</x:v>
      </x:c>
      <x:c r="B32" s="10" t="n">
        <x:v>2</x:v>
      </x:c>
      <x:c r="C32" s="11" t="str">
        <x:v>Mbps</x:v>
      </x:c>
      <x:c r="D32" s="11" t="str">
        <x:v>Assumption</x:v>
      </x:c>
      <x:c r="E32" s="9" t="str">
        <x:v>Must measure actual supported devices</x:v>
      </x:c>
    </x:row>
    <x:row r="33" ht="36" customHeight="1">
      <x:c r="A33" s="9" t="str">
        <x:v>Media overhead</x:v>
      </x:c>
      <x:c r="B33" s="13" t="n">
        <x:v>0.1</x:v>
      </x:c>
      <x:c r="C33" s="11" t="str">
        <x:v>fraction</x:v>
      </x:c>
      <x:c r="D33" s="11" t="str">
        <x:v>Assumption</x:v>
      </x:c>
      <x:c r="E33" s="9" t="str">
        <x:v>Audio/container/thumbnails allowance</x:v>
      </x:c>
    </x:row>
    <x:row r="34" ht="36" customHeight="1">
      <x:c r="A34" s="9" t="str">
        <x:v>Active retention</x:v>
      </x:c>
      <x:c r="B34" s="10" t="n">
        <x:v>30</x:v>
      </x:c>
      <x:c r="C34" s="11" t="str">
        <x:v>days</x:v>
      </x:c>
      <x:c r="D34" s="11" t="str">
        <x:v>Proposal</x:v>
      </x:c>
      <x:c r="E34" s="9" t="str">
        <x:v>Visible expiry on each cloud recording</x:v>
      </x:c>
    </x:row>
    <x:row r="35" ht="36" customHeight="1">
      <x:c r="A35" s="9" t="str">
        <x:v>Recovery history</x:v>
      </x:c>
      <x:c r="B35" s="10" t="n">
        <x:v>7</x:v>
      </x:c>
      <x:c r="C35" s="11" t="str">
        <x:v>days</x:v>
      </x:c>
      <x:c r="D35" s="11" t="str">
        <x:v>Proposal</x:v>
      </x:c>
      <x:c r="E35" s="9" t="str">
        <x:v>Noncurrent deleted/changed copies; current backup persists</x:v>
      </x:c>
    </x:row>
    <x:row r="36" ht="36" customHeight="1">
      <x:c r="A36" s="9" t="str">
        <x:v>Remote playbacks</x:v>
      </x:c>
      <x:c r="B36" s="10" t="n">
        <x:v>2</x:v>
      </x:c>
      <x:c r="C36" s="11" t="str">
        <x:v>equivalents</x:v>
      </x:c>
      <x:c r="D36" s="11" t="str">
        <x:v>Assumption</x:v>
      </x:c>
      <x:c r="E36" s="9" t="str">
        <x:v>Full recording equivalents</x:v>
      </x:c>
    </x:row>
    <x:row r="37" ht="36" customHeight="1">
      <x:c r="A37" s="9" t="str">
        <x:v>Backup transfer copies</x:v>
      </x:c>
      <x:c r="B37" s="10" t="n">
        <x:v>1</x:v>
      </x:c>
      <x:c r="C37" s="11" t="str">
        <x:v>copies</x:v>
      </x:c>
      <x:c r="D37" s="11" t="str">
        <x:v>Assumption</x:v>
      </x:c>
      <x:c r="E37" s="9" t="str">
        <x:v>One outbound recovery copy per new upload</x:v>
      </x:c>
    </x:row>
    <x:row r="38" ht="36" customHeight="1">
      <x:c r="A38" s="9" t="str">
        <x:v>Content downloads</x:v>
      </x:c>
      <x:c r="B38" s="10" t="n">
        <x:v>0.1</x:v>
      </x:c>
      <x:c r="C38" s="11" t="str">
        <x:v>GB per active player</x:v>
      </x:c>
      <x:c r="D38" s="11" t="str">
        <x:v>Assumption</x:v>
      </x:c>
      <x:c r="E38" s="9" t="str">
        <x:v>Monthly demo download traffic</x:v>
      </x:c>
    </x:row>
    <x:row r="39" ht="36" customHeight="1">
      <x:c r="A39" s="9" t="str">
        <x:v>Content stored</x:v>
      </x:c>
      <x:c r="B39" s="10" t="n">
        <x:v>10</x:v>
      </x:c>
      <x:c r="C39" s="11" t="str">
        <x:v>GB</x:v>
      </x:c>
      <x:c r="D39" s="11" t="str">
        <x:v>Assumption</x:v>
      </x:c>
      <x:c r="E39" s="9" t="str">
        <x:v>Approved instructional media</x:v>
      </x:c>
    </x:row>
    <x:row r="40" ht="36" customHeight="1">
      <x:c r="A40" s="9" t="str">
        <x:v>Backup metadata</x:v>
      </x:c>
      <x:c r="B40" s="10" t="n">
        <x:v>10</x:v>
      </x:c>
      <x:c r="C40" s="11" t="str">
        <x:v>GB</x:v>
      </x:c>
      <x:c r="D40" s="11" t="str">
        <x:v>Assumption</x:v>
      </x:c>
      <x:c r="E40" s="9" t="str">
        <x:v>Recovery exports and operational allowance</x:v>
      </x:c>
    </x:row>
    <x:row r="41" ht="36" customHeight="1">
      <x:c r="A41" s="9" t="str">
        <x:v>Family club overlap</x:v>
      </x:c>
      <x:c r="B41" s="13" t="n">
        <x:v>0.1</x:v>
      </x:c>
      <x:c r="C41" s="11" t="str">
        <x:v>fraction</x:v>
      </x:c>
      <x:c r="D41" s="11" t="str">
        <x:v>Assumption</x:v>
      </x:c>
      <x:c r="E41" s="9" t="str">
        <x:v>Bounded by family count; verify actual unique usage</x:v>
      </x:c>
    </x:row>
    <x:row r="42" ht="36" customHeight="1">
      <x:c r="A42" s="9" t="str">
        <x:v>Supabase base</x:v>
      </x:c>
      <x:c r="B42" s="10" t="n">
        <x:v>35</x:v>
      </x:c>
      <x:c r="C42" s="11" t="str">
        <x:v>USD per month</x:v>
      </x:c>
      <x:c r="D42" s="11" t="str">
        <x:v>Supabase</x:v>
      </x:c>
      <x:c r="E42" s="9" t="str">
        <x:v>Pro plus second Micro staging project</x:v>
      </x:c>
    </x:row>
    <x:row r="43" ht="36" customHeight="1">
      <x:c r="A43" s="9" t="str">
        <x:v>Included storage</x:v>
      </x:c>
      <x:c r="B43" s="10" t="n">
        <x:v>100</x:v>
      </x:c>
      <x:c r="C43" s="11" t="str">
        <x:v>GB</x:v>
      </x:c>
      <x:c r="D43" s="11" t="str">
        <x:v>Supabase</x:v>
      </x:c>
      <x:c r="E43" s="9" t="str">
        <x:v>Shared model allowance, allocated once</x:v>
      </x:c>
    </x:row>
    <x:row r="44" ht="36" customHeight="1">
      <x:c r="A44" s="9" t="str">
        <x:v>Extra storage</x:v>
      </x:c>
      <x:c r="B44" s="10" t="n">
        <x:v>0.0213</x:v>
      </x:c>
      <x:c r="C44" s="11" t="str">
        <x:v>USD per GB month</x:v>
      </x:c>
      <x:c r="D44" s="11" t="str">
        <x:v>Supabase</x:v>
      </x:c>
      <x:c r="E44" s="9" t="str">
        <x:v>Overage</x:v>
      </x:c>
    </x:row>
    <x:row r="45" ht="36" customHeight="1">
      <x:c r="A45" s="9" t="str">
        <x:v>Included egress</x:v>
      </x:c>
      <x:c r="B45" s="10" t="n">
        <x:v>250</x:v>
      </x:c>
      <x:c r="C45" s="11" t="str">
        <x:v>GB</x:v>
      </x:c>
      <x:c r="D45" s="11" t="str">
        <x:v>Supabase</x:v>
      </x:c>
      <x:c r="E45" s="9" t="str">
        <x:v>Uses uncached allowance only; conservative</x:v>
      </x:c>
    </x:row>
    <x:row r="46" ht="36" customHeight="1">
      <x:c r="A46" s="9" t="str">
        <x:v>Extra egress</x:v>
      </x:c>
      <x:c r="B46" s="10" t="n">
        <x:v>0.09</x:v>
      </x:c>
      <x:c r="C46" s="11" t="str">
        <x:v>USD per GB</x:v>
      </x:c>
      <x:c r="D46" s="11" t="str">
        <x:v>Supabase</x:v>
      </x:c>
      <x:c r="E46" s="9" t="str">
        <x:v>Conservative uncached rate</x:v>
      </x:c>
    </x:row>
    <x:row r="47" ht="36" customHeight="1">
      <x:c r="A47" s="9" t="str">
        <x:v>Vercel base</x:v>
      </x:c>
      <x:c r="B47" s="10" t="n">
        <x:v>20</x:v>
      </x:c>
      <x:c r="C47" s="11" t="str">
        <x:v>USD per month</x:v>
      </x:c>
      <x:c r="D47" s="11" t="str">
        <x:v>Vercel</x:v>
      </x:c>
      <x:c r="E47" s="9" t="str">
        <x:v>One builder seat; variable usage reserve separately</x:v>
      </x:c>
    </x:row>
    <x:row r="48" ht="36" customHeight="1">
      <x:c r="A48" s="9" t="str">
        <x:v>Backup GB rate</x:v>
      </x:c>
      <x:c r="B48" s="10" t="n">
        <x:v>0.03</x:v>
      </x:c>
      <x:c r="C48" s="11" t="str">
        <x:v>USD per GB month</x:v>
      </x:c>
      <x:c r="D48" s="11" t="str">
        <x:v>Assumption</x:v>
      </x:c>
      <x:c r="E48" s="9" t="str">
        <x:v>Not a quoted Australian S3 regional rate</x:v>
      </x:c>
    </x:row>
    <x:row r="49" ht="36" customHeight="1">
      <x:c r="A49" s="9" t="str">
        <x:v>Backup jobs budget</x:v>
      </x:c>
      <x:c r="B49" s="10" t="n">
        <x:v>10</x:v>
      </x:c>
      <x:c r="C49" s="11" t="str">
        <x:v>USD per month</x:v>
      </x:c>
      <x:c r="D49" s="11" t="str">
        <x:v>Assumption</x:v>
      </x:c>
      <x:c r="E49" s="9" t="str">
        <x:v>Requests/jobs/secrets allowance</x:v>
      </x:c>
    </x:row>
    <x:row r="50" ht="36" customHeight="1">
      <x:c r="A50" s="9" t="str">
        <x:v>Email budget</x:v>
      </x:c>
      <x:c r="B50" s="10" t="n">
        <x:v>5</x:v>
      </x:c>
      <x:c r="C50" s="11" t="str">
        <x:v>USD per month</x:v>
      </x:c>
      <x:c r="D50" s="11" t="str">
        <x:v>Assumption</x:v>
      </x:c>
      <x:c r="E50" s="9" t="str">
        <x:v>Budget, not SES unit price</x:v>
      </x:c>
    </x:row>
    <x:row r="51" ht="36" customHeight="1">
      <x:c r="A51" s="9" t="str">
        <x:v>Observability budget</x:v>
      </x:c>
      <x:c r="B51" s="10" t="n">
        <x:v>10</x:v>
      </x:c>
      <x:c r="C51" s="11" t="str">
        <x:v>USD per month</x:v>
      </x:c>
      <x:c r="D51" s="11" t="str">
        <x:v>Assumption</x:v>
      </x:c>
      <x:c r="E51" s="9" t="str">
        <x:v>No child footage in telemetry</x:v>
      </x:c>
    </x:row>
    <x:row r="52" ht="36" customHeight="1">
      <x:c r="A52" s="9" t="str">
        <x:v>Support hourly cost</x:v>
      </x:c>
      <x:c r="B52" s="10" t="n">
        <x:v>50</x:v>
      </x:c>
      <x:c r="C52" s="11" t="str">
        <x:v>AUD per hour</x:v>
      </x:c>
      <x:c r="D52" s="11" t="str">
        <x:v>Assumption</x:v>
      </x:c>
      <x:c r="E52" s="9" t="str">
        <x:v>Economic labor cost even if founder supplies it</x:v>
      </x:c>
    </x:row>
    <x:row r="53" ht="36" customHeight="1">
      <x:c r="A53" s="9" t="str">
        <x:v>Family support</x:v>
      </x:c>
      <x:c r="B53" s="10" t="n">
        <x:v>2</x:v>
      </x:c>
      <x:c r="C53" s="11" t="str">
        <x:v>minutes per month</x:v>
      </x:c>
      <x:c r="D53" s="11" t="str">
        <x:v>Assumption</x:v>
      </x:c>
      <x:c r="E53" s="9" t="str">
        <x:v>Per paid family</x:v>
      </x:c>
    </x:row>
    <x:row r="54" ht="36" customHeight="1">
      <x:c r="A54" s="9" t="str">
        <x:v>Club support</x:v>
      </x:c>
      <x:c r="B54" s="10" t="n">
        <x:v>60</x:v>
      </x:c>
      <x:c r="C54" s="11" t="str">
        <x:v>minutes per month</x:v>
      </x:c>
      <x:c r="D54" s="11" t="str">
        <x:v>Assumption</x:v>
      </x:c>
      <x:c r="E54" s="9" t="str">
        <x:v>Per paid or trial club</x:v>
      </x:c>
    </x:row>
    <x:row r="55" ht="36" customHeight="1">
      <x:c r="A55" s="9" t="str">
        <x:v>Coach support</x:v>
      </x:c>
      <x:c r="B55" s="10" t="n">
        <x:v>15</x:v>
      </x:c>
      <x:c r="C55" s="11" t="str">
        <x:v>minutes per month</x:v>
      </x:c>
      <x:c r="D55" s="11" t="str">
        <x:v>Assumption</x:v>
      </x:c>
      <x:c r="E55" s="9" t="str">
        <x:v>Per independent coach</x:v>
      </x:c>
    </x:row>
    <x:row r="56" ht="36" customHeight="1">
      <x:c r="A56" s="9" t="str">
        <x:v>Free support</x:v>
      </x:c>
      <x:c r="B56" s="10" t="n">
        <x:v>0.2</x:v>
      </x:c>
      <x:c r="C56" s="11" t="str">
        <x:v>minutes per month</x:v>
      </x:c>
      <x:c r="D56" s="11" t="str">
        <x:v>Assumption</x:v>
      </x:c>
      <x:c r="E56" s="9" t="str">
        <x:v>Per active free player</x:v>
      </x:c>
    </x:row>
    <x:row r="57" ht="36" customHeight="1">
      <x:c r="A57" s="9" t="str">
        <x:v>Trial quota</x:v>
      </x:c>
      <x:c r="B57" s="10" t="n">
        <x:v>5</x:v>
      </x:c>
      <x:c r="C57" s="11" t="str">
        <x:v>GB per player</x:v>
      </x:c>
      <x:c r="D57" s="11" t="str">
        <x:v>Assumption</x:v>
      </x:c>
      <x:c r="E57" s="9" t="str">
        <x:v>Complimentary pilot only</x:v>
      </x:c>
    </x:row>
    <x:row r="58" ht="36" customHeight="1">
      <x:c r="A58" s="9" t="str">
        <x:v>Engineering hours</x:v>
      </x:c>
      <x:c r="B58" s="10" t="n">
        <x:v>550</x:v>
      </x:c>
      <x:c r="C58" s="11" t="str">
        <x:v>hours</x:v>
      </x:c>
      <x:c r="D58" s="11" t="str">
        <x:v>Estimate</x:v>
      </x:c>
      <x:c r="E58" s="9" t="str">
        <x:v>Core engineering excludes listed specialists</x:v>
      </x:c>
    </x:row>
    <x:row r="59" ht="36" customHeight="1">
      <x:c r="A59" s="9" t="str">
        <x:v>Engineering rate</x:v>
      </x:c>
      <x:c r="B59" s="10" t="n">
        <x:v>125</x:v>
      </x:c>
      <x:c r="C59" s="11" t="str">
        <x:v>AUD per hour</x:v>
      </x:c>
      <x:c r="D59" s="11" t="str">
        <x:v>Estimate</x:v>
      </x:c>
      <x:c r="E59" s="9" t="str">
        <x:v>Illustrative; obtain specialist estimates</x:v>
      </x:c>
    </x:row>
    <x:row r="60" ht="36" customHeight="1">
      <x:c r="A60" s="9" t="str">
        <x:v>UX hours</x:v>
      </x:c>
      <x:c r="B60" s="10" t="n">
        <x:v>80</x:v>
      </x:c>
      <x:c r="C60" s="11" t="str">
        <x:v>hours</x:v>
      </x:c>
      <x:c r="D60" s="11" t="str">
        <x:v>Estimate</x:v>
      </x:c>
      <x:c r="E60" s="9" t="str">
        <x:v>Work estimate</x:v>
      </x:c>
    </x:row>
    <x:row r="61" ht="36" customHeight="1">
      <x:c r="A61" s="9" t="str">
        <x:v>UX rate</x:v>
      </x:c>
      <x:c r="B61" s="10" t="n">
        <x:v>110</x:v>
      </x:c>
      <x:c r="C61" s="11" t="str">
        <x:v>AUD per hour</x:v>
      </x:c>
      <x:c r="D61" s="11" t="str">
        <x:v>Estimate</x:v>
      </x:c>
      <x:c r="E61" s="9" t="str">
        <x:v>Not a supplier quote</x:v>
      </x:c>
    </x:row>
    <x:row r="62" ht="36" customHeight="1">
      <x:c r="A62" s="9" t="str">
        <x:v>Coach hours</x:v>
      </x:c>
      <x:c r="B62" s="10" t="n">
        <x:v>40</x:v>
      </x:c>
      <x:c r="C62" s="11" t="str">
        <x:v>hours</x:v>
      </x:c>
      <x:c r="D62" s="11" t="str">
        <x:v>Estimate</x:v>
      </x:c>
      <x:c r="E62" s="9" t="str">
        <x:v>Content review and pilot</x:v>
      </x:c>
    </x:row>
    <x:row r="63" ht="36" customHeight="1">
      <x:c r="A63" s="9" t="str">
        <x:v>Coach rate</x:v>
      </x:c>
      <x:c r="B63" s="10" t="n">
        <x:v>100</x:v>
      </x:c>
      <x:c r="C63" s="11" t="str">
        <x:v>AUD per hour</x:v>
      </x:c>
      <x:c r="D63" s="11" t="str">
        <x:v>Estimate</x:v>
      </x:c>
      <x:c r="E63" s="9" t="str">
        <x:v>Not a supplier quote</x:v>
      </x:c>
    </x:row>
    <x:row r="64" ht="36" customHeight="1">
      <x:c r="A64" s="9" t="str">
        <x:v>Animation hours</x:v>
      </x:c>
      <x:c r="B64" s="10" t="n">
        <x:v>120</x:v>
      </x:c>
      <x:c r="C64" s="11" t="str">
        <x:v>hours</x:v>
      </x:c>
      <x:c r="D64" s="11" t="str">
        <x:v>Estimate</x:v>
      </x:c>
      <x:c r="E64" s="9" t="str">
        <x:v>Three briefs / pilot asset scope to estimate</x:v>
      </x:c>
    </x:row>
    <x:row r="65" ht="36" customHeight="1">
      <x:c r="A65" s="9" t="str">
        <x:v>Animation rate</x:v>
      </x:c>
      <x:c r="B65" s="10" t="n">
        <x:v>100</x:v>
      </x:c>
      <x:c r="C65" s="11" t="str">
        <x:v>AUD per hour</x:v>
      </x:c>
      <x:c r="D65" s="11" t="str">
        <x:v>Estimate</x:v>
      </x:c>
      <x:c r="E65" s="9" t="str">
        <x:v>Not a supplier quote</x:v>
      </x:c>
    </x:row>
    <x:row r="66" ht="36" customHeight="1">
      <x:c r="A66" s="9" t="str">
        <x:v>Privacy hours</x:v>
      </x:c>
      <x:c r="B66" s="10" t="n">
        <x:v>16</x:v>
      </x:c>
      <x:c r="C66" s="11" t="str">
        <x:v>hours</x:v>
      </x:c>
      <x:c r="D66" s="11" t="str">
        <x:v>Estimate</x:v>
      </x:c>
      <x:c r="E66" s="9" t="str">
        <x:v>Australian first-market review</x:v>
      </x:c>
    </x:row>
    <x:row r="67" ht="36" customHeight="1">
      <x:c r="A67" s="9" t="str">
        <x:v>Privacy rate</x:v>
      </x:c>
      <x:c r="B67" s="10" t="n">
        <x:v>200</x:v>
      </x:c>
      <x:c r="C67" s="11" t="str">
        <x:v>AUD per hour</x:v>
      </x:c>
      <x:c r="D67" s="11" t="str">
        <x:v>Estimate</x:v>
      </x:c>
      <x:c r="E67" s="9" t="str">
        <x:v>Not a supplier quote</x:v>
      </x:c>
    </x:row>
    <x:row r="68" ht="36" customHeight="1">
      <x:c r="A68" s="9" t="str">
        <x:v>Security hours</x:v>
      </x:c>
      <x:c r="B68" s="10" t="n">
        <x:v>40</x:v>
      </x:c>
      <x:c r="C68" s="11" t="str">
        <x:v>hours</x:v>
      </x:c>
      <x:c r="D68" s="11" t="str">
        <x:v>Estimate</x:v>
      </x:c>
      <x:c r="E68" s="9" t="str">
        <x:v>Independent review and verification</x:v>
      </x:c>
    </x:row>
    <x:row r="69" ht="36" customHeight="1">
      <x:c r="A69" s="9" t="str">
        <x:v>Security rate</x:v>
      </x:c>
      <x:c r="B69" s="10" t="n">
        <x:v>200</x:v>
      </x:c>
      <x:c r="C69" s="11" t="str">
        <x:v>AUD per hour</x:v>
      </x:c>
      <x:c r="D69" s="11" t="str">
        <x:v>Estimate</x:v>
      </x:c>
      <x:c r="E69" s="9" t="str">
        <x:v>Not a supplier quote</x:v>
      </x:c>
    </x:row>
    <x:row r="70" ht="36" customHeight="1">
      <x:c r="A70" s="9" t="str">
        <x:v>Test devices</x:v>
      </x:c>
      <x:c r="B70" s="10" t="n">
        <x:v>2000</x:v>
      </x:c>
      <x:c r="C70" s="11" t="str">
        <x:v>AUD</x:v>
      </x:c>
      <x:c r="D70" s="11" t="str">
        <x:v>Estimate</x:v>
      </x:c>
      <x:c r="E70" s="9" t="str">
        <x:v>Device availability may alter cost</x:v>
      </x:c>
    </x:row>
    <x:row r="71" ht="36" customHeight="1">
      <x:c r="A71" s="9" t="str">
        <x:v>Business setup</x:v>
      </x:c>
      <x:c r="B71" s="10" t="n">
        <x:v>2000</x:v>
      </x:c>
      <x:c r="C71" s="11" t="str">
        <x:v>AUD</x:v>
      </x:c>
      <x:c r="D71" s="11" t="str">
        <x:v>Estimate</x:v>
      </x:c>
      <x:c r="E71" s="9" t="str">
        <x:v>Legal/account setup allowance</x:v>
      </x:c>
    </x:row>
    <x:row r="72" ht="36" customHeight="1">
      <x:c r="A72" s="9" t="str">
        <x:v>Build service months</x:v>
      </x:c>
      <x:c r="B72" s="10" t="n">
        <x:v>6</x:v>
      </x:c>
      <x:c r="C72" s="11" t="str">
        <x:v>months</x:v>
      </x:c>
      <x:c r="D72" s="11" t="str">
        <x:v>Estimate</x:v>
      </x:c>
      <x:c r="E72" s="9" t="str">
        <x:v>Budget duration, not delivery commitment</x:v>
      </x:c>
    </x:row>
    <x:row r="73" ht="36" customHeight="1">
      <x:c r="A73" s="9" t="str">
        <x:v>Build service budget</x:v>
      </x:c>
      <x:c r="B73" s="10" t="n">
        <x:v>150</x:v>
      </x:c>
      <x:c r="C73" s="11" t="str">
        <x:v>USD per month</x:v>
      </x:c>
      <x:c r="D73" s="11" t="str">
        <x:v>Estimate</x:v>
      </x:c>
      <x:c r="E73" s="9" t="str">
        <x:v>Development services</x:v>
      </x:c>
    </x:row>
    <x:row r="74" ht="36" customHeight="1">
      <x:c r="A74" s="9" t="str">
        <x:v>Contingency</x:v>
      </x:c>
      <x:c r="B74" s="13" t="n">
        <x:v>0.25</x:v>
      </x:c>
      <x:c r="C74" s="11" t="str">
        <x:v>fraction</x:v>
      </x:c>
      <x:c r="D74" s="11" t="str">
        <x:v>Estimate</x:v>
      </x:c>
      <x:c r="E74" s="9" t="str">
        <x:v>Applied to modeled cash build cost</x:v>
      </x:c>
    </x:row>
    <x:row r="75" ht="36" customHeight="1">
      <x:c r="A75" s="9" t="str">
        <x:v>Founder coordination</x:v>
      </x:c>
      <x:c r="B75" s="10" t="n">
        <x:v>100</x:v>
      </x:c>
      <x:c r="C75" s="11" t="str">
        <x:v>hours</x:v>
      </x:c>
      <x:c r="D75" s="11" t="str">
        <x:v>Estimate</x:v>
      </x:c>
      <x:c r="E75" s="9" t="str">
        <x:v>Excludes uncommissioned core engineering</x:v>
      </x:c>
    </x:row>
    <x:row r="76" ht="36" customHeight="1">
      <x:c r="A76" s="9" t="str">
        <x:v>Founder availability</x:v>
      </x:c>
      <x:c r="B76" s="10" t="n">
        <x:v>15</x:v>
      </x:c>
      <x:c r="C76" s="11" t="str">
        <x:v>productive hours/week</x:v>
      </x:c>
      <x:c r="D76" s="11" t="str">
        <x:v>Assumption</x:v>
      </x:c>
      <x:c r="E76" s="9" t="str">
        <x:v>Calendar equivalent, not project schedule</x:v>
      </x:c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1eec0c474708470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" hidden="0" customWidth="1"/>
    <x:col min="3" max="3" width="19" hidden="0" customWidth="1"/>
    <x:col min="4" max="4" width="19" hidden="0" customWidth="1"/>
    <x:col min="5" max="5" width="52" hidden="0" customWidth="1"/>
  </x:cols>
  <x:sheetData>
    <x:row r="1" ht="32" customHeight="1">
      <x:c r="A1" s="3" t="str">
        <x:v>MONTHLY STEADY-STATE CASES • scenarios are not forecasts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Metric</x:v>
      </x:c>
      <x:c r="B3" s="5" t="str">
        <x:v>Pilot</x:v>
      </x:c>
      <x:c r="C3" s="5" t="str">
        <x:v>Early paid</x:v>
      </x:c>
      <x:c r="D3" s="5" t="str">
        <x:v>Larger scale</x:v>
      </x:c>
      <x:c r="E3" s="5" t="str">
        <x:v>Notes</x:v>
      </x:c>
    </x:row>
    <x:row r="4" ht="25" customHeight="1">
      <x:c r="A4" s="1" t="str">
        <x:v>Paid families</x:v>
      </x:c>
      <x:c r="B4" s="8" t="n">
        <x:v>0</x:v>
      </x:c>
      <x:c r="C4" s="8" t="n">
        <x:v>50</x:v>
      </x:c>
      <x:c r="D4" s="8" t="n">
        <x:v>1000</x:v>
      </x:c>
      <x:c r="E4" s="1"/>
    </x:row>
    <x:row r="5" ht="25" customHeight="1">
      <x:c r="A5" s="1" t="str">
        <x:v>Paid clubs</x:v>
      </x:c>
      <x:c r="B5" s="8" t="n">
        <x:v>0</x:v>
      </x:c>
      <x:c r="C5" s="8" t="n">
        <x:v>3</x:v>
      </x:c>
      <x:c r="D5" s="8" t="n">
        <x:v>30</x:v>
      </x:c>
      <x:c r="E5" s="1"/>
    </x:row>
    <x:row r="6" ht="25" customHeight="1">
      <x:c r="A6" s="1" t="str">
        <x:v>Seats per club</x:v>
      </x:c>
      <x:c r="B6" s="8" t="n">
        <x:v>25</x:v>
      </x:c>
      <x:c r="C6" s="8" t="n">
        <x:v>50</x:v>
      </x:c>
      <x:c r="D6" s="8" t="n">
        <x:v>100</x:v>
      </x:c>
      <x:c r="E6" s="1"/>
    </x:row>
    <x:row r="7" ht="25" customHeight="1">
      <x:c r="A7" s="1" t="str">
        <x:v>Independent Coach Pro</x:v>
      </x:c>
      <x:c r="B7" s="8" t="n">
        <x:v>0</x:v>
      </x:c>
      <x:c r="C7" s="8" t="n">
        <x:v>0</x:v>
      </x:c>
      <x:c r="D7" s="8" t="n">
        <x:v>20</x:v>
      </x:c>
      <x:c r="E7" s="1"/>
    </x:row>
    <x:row r="8" ht="25" customHeight="1">
      <x:c r="A8" s="1" t="str">
        <x:v>Active free players</x:v>
      </x:c>
      <x:c r="B8" s="8" t="n">
        <x:v>20</x:v>
      </x:c>
      <x:c r="C8" s="8" t="n">
        <x:v>200</x:v>
      </x:c>
      <x:c r="D8" s="8" t="n">
        <x:v>2000</x:v>
      </x:c>
      <x:c r="E8" s="1"/>
    </x:row>
    <x:row r="9" ht="25" customHeight="1">
      <x:c r="A9" s="1" t="str">
        <x:v>Trial cloud players</x:v>
      </x:c>
      <x:c r="B9" s="8" t="n">
        <x:v>20</x:v>
      </x:c>
      <x:c r="C9" s="8" t="n">
        <x:v>0</x:v>
      </x:c>
      <x:c r="D9" s="8" t="n">
        <x:v>0</x:v>
      </x:c>
      <x:c r="E9" s="1"/>
    </x:row>
    <x:row r="10" ht="25" customHeight="1">
      <x:c r="A10" s="1" t="str">
        <x:v>Trial clubs</x:v>
      </x:c>
      <x:c r="B10" s="8" t="n">
        <x:v>1</x:v>
      </x:c>
      <x:c r="C10" s="8" t="n">
        <x:v>0</x:v>
      </x:c>
      <x:c r="D10" s="8" t="n">
        <x:v>0</x:v>
      </x:c>
      <x:c r="E10" s="1"/>
    </x:row>
    <x:row r="11" ht="25" customHeight="1">
      <x:c r="A11" s="1" t="str">
        <x:v>Extra compute USD</x:v>
      </x:c>
      <x:c r="B11" s="8" t="n">
        <x:v>0</x:v>
      </x:c>
      <x:c r="C11" s="8" t="n">
        <x:v>0</x:v>
      </x:c>
      <x:c r="D11" s="8" t="n">
        <x:v>50</x:v>
      </x:c>
      <x:c r="E11" s="1"/>
    </x:row>
    <x:row r="12" ht="25" customHeight="1">
      <x:c r="A12" s="1" t="str">
        <x:v>Web/traffic reserve USD</x:v>
      </x:c>
      <x:c r="B12" s="8" t="n">
        <x:v>0</x:v>
      </x:c>
      <x:c r="C12" s="8" t="n">
        <x:v>10</x:v>
      </x:c>
      <x:c r="D12" s="8" t="n">
        <x:v>100</x:v>
      </x:c>
      <x:c r="E12" s="1"/>
    </x:row>
    <x:row r="13" ht="25" customHeight="1">
      <x:c r="A13" s="1" t="str">
        <x:v>Delivery tools / agent CI USD</x:v>
      </x:c>
      <x:c r="B13" s="8" t="n">
        <x:v>100</x:v>
      </x:c>
      <x:c r="C13" s="8" t="n">
        <x:v>150</x:v>
      </x:c>
      <x:c r="D13" s="8" t="n">
        <x:v>250</x:v>
      </x:c>
      <x:c r="E13" s="1"/>
    </x:row>
    <x:row r="14" ht="25" customHeight="1">
      <x:c r="A14" s="1" t="str">
        <x:v>Other business AUD</x:v>
      </x:c>
      <x:c r="B14" s="8" t="n">
        <x:v>300</x:v>
      </x:c>
      <x:c r="C14" s="8" t="n">
        <x:v>750</x:v>
      </x:c>
      <x:c r="D14" s="8" t="n">
        <x:v>2500</x:v>
      </x:c>
      <x:c r="E14" s="1"/>
    </x:row>
    <x:row r="15" ht="25" customHeight="1">
      <x:c r="A15" s="1" t="str">
        <x:v>Technical maintenance AUD</x:v>
      </x:c>
      <x:c r="B15" s="8" t="n">
        <x:v>200</x:v>
      </x:c>
      <x:c r="C15" s="8" t="n">
        <x:v>500</x:v>
      </x:c>
      <x:c r="D15" s="8" t="n">
        <x:v>2000</x:v>
      </x:c>
      <x:c r="E15" s="1"/>
    </x:row>
    <x:row r="16" ht="25" customHeight="1">
      <x:c r="A16" s="1" t="str">
        <x:v>Founder compensation target AUD</x:v>
      </x:c>
      <x:c r="B16" s="8" t="n">
        <x:v>0</x:v>
      </x:c>
      <x:c r="C16" s="8" t="n">
        <x:v>5000</x:v>
      </x:c>
      <x:c r="D16" s="8" t="n">
        <x:v>7000</x:v>
      </x:c>
      <x:c r="E16" s="1"/>
    </x:row>
    <x:row r="17" ht="25" customHeight="1">
      <x:c r="A17" s="1"/>
      <x:c r="B17" s="6"/>
      <x:c r="C17" s="6"/>
      <x:c r="D17" s="6"/>
      <x:c r="E17" s="1"/>
    </x:row>
    <x:row r="18" ht="25" customHeight="1">
      <x:c r="A18" s="1" t="str">
        <x:v>Licensed club seats</x:v>
      </x:c>
      <x:c r="B18" s="6" t="n">
        <x:f>B5*B6</x:f>
        <x:v>0</x:v>
      </x:c>
      <x:c r="C18" s="6" t="n">
        <x:f>C5*C6</x:f>
        <x:v>150</x:v>
      </x:c>
      <x:c r="D18" s="6" t="n">
        <x:f>D5*D6</x:f>
        <x:v>3000</x:v>
      </x:c>
      <x:c r="E18" s="1"/>
    </x:row>
    <x:row r="19" ht="25" customHeight="1">
      <x:c r="A19" s="1" t="str">
        <x:v>Active family players</x:v>
      </x:c>
      <x:c r="B19" s="6" t="n">
        <x:f>B4*'Inputs'!B10</x:f>
        <x:v>0</x:v>
      </x:c>
      <x:c r="C19" s="6" t="n">
        <x:f>C4*'Inputs'!B10</x:f>
        <x:v>100</x:v>
      </x:c>
      <x:c r="D19" s="6" t="n">
        <x:f>D4*'Inputs'!B10</x:f>
        <x:v>2000</x:v>
      </x:c>
      <x:c r="E19" s="1"/>
    </x:row>
    <x:row r="20" ht="25" customHeight="1">
      <x:c r="A20" s="1" t="str">
        <x:v>Active club players</x:v>
      </x:c>
      <x:c r="B20" s="6" t="n">
        <x:f>B18*'Inputs'!B16</x:f>
        <x:v>0</x:v>
      </x:c>
      <x:c r="C20" s="6" t="n">
        <x:f>C18*'Inputs'!B16</x:f>
        <x:v>90</x:v>
      </x:c>
      <x:c r="D20" s="6" t="n">
        <x:f>D18*'Inputs'!B16</x:f>
        <x:v>1800</x:v>
      </x:c>
      <x:c r="E20" s="1"/>
    </x:row>
    <x:row r="21" ht="25" customHeight="1">
      <x:c r="A21" s="1" t="str">
        <x:v>Overlapping players</x:v>
      </x:c>
      <x:c r="B21" s="6" t="n">
        <x:f>MIN(B19,B20*'Inputs'!B41)</x:f>
        <x:v>0</x:v>
      </x:c>
      <x:c r="C21" s="6" t="n">
        <x:f>MIN(C19,C20*'Inputs'!B41)</x:f>
        <x:v>9</x:v>
      </x:c>
      <x:c r="D21" s="6" t="n">
        <x:f>MIN(D19,D20*'Inputs'!B41)</x:f>
        <x:v>180</x:v>
      </x:c>
      <x:c r="E21" s="1"/>
    </x:row>
    <x:row r="22" ht="25" customHeight="1">
      <x:c r="A22" s="1" t="str">
        <x:v>Unique active players incl free</x:v>
      </x:c>
      <x:c r="B22" s="6" t="n">
        <x:f>B19+B20-B21+B8</x:f>
        <x:v>20</x:v>
      </x:c>
      <x:c r="C22" s="6" t="n">
        <x:f>C19+C20-C21+C8</x:f>
        <x:v>381</x:v>
      </x:c>
      <x:c r="D22" s="6" t="n">
        <x:f>D19+D20-D21+D8</x:f>
        <x:v>5620</x:v>
      </x:c>
      <x:c r="E22" s="1"/>
    </x:row>
    <x:row r="23" ht="25" customHeight="1">
      <x:c r="A23" s="1" t="str">
        <x:v>Cloud-active players</x:v>
      </x:c>
      <x:c r="B23" s="6" t="n">
        <x:f>(B19+B20-B21)*'Inputs'!B29+B9</x:f>
        <x:v>20</x:v>
      </x:c>
      <x:c r="C23" s="6" t="n">
        <x:f>(C19+C20-C21)*'Inputs'!B29+C9</x:f>
        <x:v>90.5</x:v>
      </x:c>
      <x:c r="D23" s="6" t="n">
        <x:f>(D19+D20-D21)*'Inputs'!B29+D9</x:f>
        <x:v>1810</x:v>
      </x:c>
      <x:c r="E23" s="1"/>
    </x:row>
    <x:row r="24" ht="25" customHeight="1">
      <x:c r="A24" s="1"/>
      <x:c r="B24" s="6"/>
      <x:c r="C24" s="6"/>
      <x:c r="D24" s="6"/>
      <x:c r="E24" s="1"/>
    </x:row>
    <x:row r="25" ht="25" customHeight="1">
      <x:c r="A25" s="1" t="str">
        <x:v>Family MRR ex GST AUD</x:v>
      </x:c>
      <x:c r="B25" s="6" t="n">
        <x:f>B4*('Inputs'!B6*'Inputs'!B8+'Inputs'!B7/12*(1-'Inputs'!B8))/(1+'Inputs'!B5)</x:f>
        <x:v>0</x:v>
      </x:c>
      <x:c r="C25" s="6" t="n">
        <x:f>C4*('Inputs'!B6*'Inputs'!B8+'Inputs'!B7/12*(1-'Inputs'!B8))/(1+'Inputs'!B5)</x:f>
        <x:v>545.2499999999999</x:v>
      </x:c>
      <x:c r="D25" s="6" t="n">
        <x:f>D4*('Inputs'!B6*'Inputs'!B8+'Inputs'!B7/12*(1-'Inputs'!B8))/(1+'Inputs'!B5)</x:f>
        <x:v>10905</x:v>
      </x:c>
      <x:c r="E25" s="1"/>
    </x:row>
    <x:row r="26" ht="25" customHeight="1">
      <x:c r="A26" s="1" t="str">
        <x:v>Club MRR ex GST AUD</x:v>
      </x:c>
      <x:c r="B26" s="6" t="n">
        <x:f>B18*('Inputs'!B12*'Inputs'!B14+'Inputs'!B13/12*(1-'Inputs'!B14))</x:f>
        <x:v>0</x:v>
      </x:c>
      <x:c r="C26" s="6" t="n">
        <x:f>C18*('Inputs'!B12*'Inputs'!B14+'Inputs'!B13/12*(1-'Inputs'!B14))</x:f>
        <x:v>637.5</x:v>
      </x:c>
      <x:c r="D26" s="6" t="n">
        <x:f>D18*('Inputs'!B12*'Inputs'!B14+'Inputs'!B13/12*(1-'Inputs'!B14))</x:f>
        <x:v>12750</x:v>
      </x:c>
      <x:c r="E26" s="1"/>
    </x:row>
    <x:row r="27" ht="25" customHeight="1">
      <x:c r="A27" s="1" t="str">
        <x:v>Coach MRR ex GST AUD</x:v>
      </x:c>
      <x:c r="B27" s="6" t="n">
        <x:f>B7*('Inputs'!B18*'Inputs'!B20+'Inputs'!B19/12*(1-'Inputs'!B20))</x:f>
        <x:v>0</x:v>
      </x:c>
      <x:c r="C27" s="6" t="n">
        <x:f>C7*('Inputs'!B18*'Inputs'!B20+'Inputs'!B19/12*(1-'Inputs'!B20))</x:f>
        <x:v>0</x:v>
      </x:c>
      <x:c r="D27" s="6" t="n">
        <x:f>D7*('Inputs'!B18*'Inputs'!B20+'Inputs'!B19/12*(1-'Inputs'!B20))</x:f>
        <x:v>497.5</x:v>
      </x:c>
      <x:c r="E27" s="1"/>
    </x:row>
    <x:row r="28" ht="25" customHeight="1">
      <x:c r="A28" s="1" t="str">
        <x:v>Total MRR ex GST AUD</x:v>
      </x:c>
      <x:c r="B28" s="6" t="n">
        <x:f>SUM(B25:B27)</x:f>
        <x:v>0</x:v>
      </x:c>
      <x:c r="C28" s="6" t="n">
        <x:f>SUM(C25:C27)</x:f>
        <x:v>1182.75</x:v>
      </x:c>
      <x:c r="D28" s="6" t="n">
        <x:f>SUM(D25:D27)</x:f>
        <x:v>24152.5</x:v>
      </x:c>
      <x:c r="E28" s="1"/>
    </x:row>
    <x:row r="29" ht="25" customHeight="1">
      <x:c r="A29" s="1" t="str">
        <x:v>Store MRR ex GST AUD</x:v>
      </x:c>
      <x:c r="B29" s="6" t="n">
        <x:f>B25*'Inputs'!B9</x:f>
        <x:v>0</x:v>
      </x:c>
      <x:c r="C29" s="6" t="n">
        <x:f>C25*'Inputs'!B9</x:f>
        <x:v>381.6749999999999</x:v>
      </x:c>
      <x:c r="D29" s="6" t="n">
        <x:f>D25*'Inputs'!B9</x:f>
        <x:v>7633.499999999999</x:v>
      </x:c>
      <x:c r="E29" s="1"/>
    </x:row>
    <x:row r="30" ht="25" customHeight="1">
      <x:c r="A30" s="1" t="str">
        <x:v>Stripe gross collections proxy AUD</x:v>
      </x:c>
      <x:c r="B30" s="6" t="n">
        <x:f>(B28-B29)*(1+'Inputs'!B5)</x:f>
        <x:v>0</x:v>
      </x:c>
      <x:c r="C30" s="6" t="n">
        <x:f>(C28-C29)*(1+'Inputs'!B5)</x:f>
        <x:v>881.1825000000001</x:v>
      </x:c>
      <x:c r="D30" s="6" t="n">
        <x:f>(D28-D29)*(1+'Inputs'!B5)</x:f>
        <x:v>18170.9</x:v>
      </x:c>
      <x:c r="E30" s="1"/>
    </x:row>
    <x:row r="31" ht="25" customHeight="1">
      <x:c r="A31" s="1" t="str">
        <x:v>Stripe transactions monthly equivalent</x:v>
      </x:c>
      <x:c r="B31" s="6" t="n">
        <x:f>B4*(1-'Inputs'!B9)*('Inputs'!B8+(1-'Inputs'!B8)/12)+B5*('Inputs'!B14+(1-'Inputs'!B14)/12)+B7*('Inputs'!B20+(1-'Inputs'!B20)/12)</x:f>
        <x:v>0</x:v>
      </x:c>
      <x:c r="C31" s="6" t="n">
        <x:f>C4*(1-'Inputs'!B9)*('Inputs'!B8+(1-'Inputs'!B8)/12)+C5*('Inputs'!B14+(1-'Inputs'!B14)/12)+C7*('Inputs'!B20+(1-'Inputs'!B20)/12)</x:f>
        <x:v>7.687500000000001</x:v>
      </x:c>
      <x:c r="D31" s="6" t="n">
        <x:f>D4*(1-'Inputs'!B9)*('Inputs'!B8+(1-'Inputs'!B8)/12)+D5*('Inputs'!B14+(1-'Inputs'!B14)/12)+D7*('Inputs'!B20+(1-'Inputs'!B20)/12)</x:f>
        <x:v>155.20833333333337</x:v>
      </x:c>
      <x:c r="E31" s="1"/>
    </x:row>
    <x:row r="32" ht="25" customHeight="1">
      <x:c r="A32" s="1" t="str">
        <x:v>Store commissions AUD</x:v>
      </x:c>
      <x:c r="B32" s="6" t="n">
        <x:f>B29*'Inputs'!B21</x:f>
        <x:v>0</x:v>
      </x:c>
      <x:c r="C32" s="6" t="n">
        <x:f>C29*'Inputs'!B21</x:f>
        <x:v>57.251249999999985</x:v>
      </x:c>
      <x:c r="D32" s="6" t="n">
        <x:f>D29*'Inputs'!B21</x:f>
        <x:v>1145.0249999999999</x:v>
      </x:c>
      <x:c r="E32" s="1"/>
    </x:row>
    <x:row r="33" ht="25" customHeight="1">
      <x:c r="A33" s="1" t="str">
        <x:v>Stripe processing AUD</x:v>
      </x:c>
      <x:c r="B33" s="6" t="n">
        <x:f>B30*'Inputs'!B22+B31*'Inputs'!B23</x:f>
        <x:v>0</x:v>
      </x:c>
      <x:c r="C33" s="6" t="n">
        <x:f>C30*'Inputs'!B22+C31*'Inputs'!B23</x:f>
        <x:v>17.286352500000003</x:v>
      </x:c>
      <x:c r="D33" s="6" t="n">
        <x:f>D30*'Inputs'!B22+D31*'Inputs'!B23</x:f>
        <x:v>355.46780000000007</x:v>
      </x:c>
      <x:c r="E33" s="1"/>
    </x:row>
    <x:row r="34" ht="25" customHeight="1">
      <x:c r="A34" s="1" t="str">
        <x:v>Stripe Billing AUD</x:v>
      </x:c>
      <x:c r="B34" s="6" t="n">
        <x:f>B30*'Inputs'!B24</x:f>
        <x:v>0</x:v>
      </x:c>
      <x:c r="C34" s="6" t="n">
        <x:f>C30*'Inputs'!B24</x:f>
        <x:v>6.168277500000001</x:v>
      </x:c>
      <x:c r="D34" s="6" t="n">
        <x:f>D30*'Inputs'!B24</x:f>
        <x:v>127.19630000000001</x:v>
      </x:c>
      <x:c r="E34" s="1"/>
    </x:row>
    <x:row r="35" ht="25" customHeight="1">
      <x:c r="A35" s="1" t="str">
        <x:v>RevenueCat MTR proxy USD</x:v>
      </x:c>
      <x:c r="B35" s="6" t="n">
        <x:f>B29*(1+'Inputs'!B5)*'Inputs'!B27/'Inputs'!B4</x:f>
        <x:v>0</x:v>
      </x:c>
      <x:c r="C35" s="6" t="n">
        <x:f>C29*(1+'Inputs'!B5)*'Inputs'!B27/'Inputs'!B4</x:f>
        <x:v>270.866129032258</x:v>
      </x:c>
      <x:c r="D35" s="6" t="n">
        <x:f>D29*(1+'Inputs'!B5)*'Inputs'!B27/'Inputs'!B4</x:f>
        <x:v>5417.322580645161</x:v>
      </x:c>
      <x:c r="E35" s="1"/>
    </x:row>
    <x:row r="36" ht="25" customHeight="1">
      <x:c r="A36" s="1" t="str">
        <x:v>RevenueCat fee AUD</x:v>
      </x:c>
      <x:c r="B36" s="6" t="n">
        <x:f>IF(B35&gt;'Inputs'!B25,B35*'Inputs'!B26*'Inputs'!B4,0)</x:f>
        <x:v>0</x:v>
      </x:c>
      <x:c r="C36" s="6" t="n">
        <x:f>IF(C35&gt;'Inputs'!B25,C35*'Inputs'!B26*'Inputs'!B4,0)</x:f>
        <x:v>0</x:v>
      </x:c>
      <x:c r="D36" s="6" t="n">
        <x:f>IF(D35&gt;'Inputs'!B25,D35*'Inputs'!B26*'Inputs'!B4,0)</x:f>
        <x:v>83.9685</x:v>
      </x:c>
      <x:c r="E36" s="1"/>
    </x:row>
    <x:row r="37" ht="25" customHeight="1">
      <x:c r="A37" s="1" t="str">
        <x:v>Refund reserve AUD</x:v>
      </x:c>
      <x:c r="B37" s="6" t="n">
        <x:f>B28*'Inputs'!B28</x:f>
        <x:v>0</x:v>
      </x:c>
      <x:c r="C37" s="6" t="n">
        <x:f>C28*'Inputs'!B28</x:f>
        <x:v>11.8275</x:v>
      </x:c>
      <x:c r="D37" s="6" t="n">
        <x:f>D28*'Inputs'!B28</x:f>
        <x:v>241.525</x:v>
      </x:c>
      <x:c r="E37" s="1"/>
    </x:row>
    <x:row r="38" ht="25" customHeight="1">
      <x:c r="A38" s="1" t="str">
        <x:v>Total billing costs AUD</x:v>
      </x:c>
      <x:c r="B38" s="6" t="n">
        <x:f>SUM(B32:B34)+B36+B37</x:f>
        <x:v>0</x:v>
      </x:c>
      <x:c r="C38" s="6" t="n">
        <x:f>SUM(C32:C34)+C36+C37</x:f>
        <x:v>92.53338</x:v>
      </x:c>
      <x:c r="D38" s="6" t="n">
        <x:f>SUM(D32:D34)+D36+D37</x:f>
        <x:v>1953.1826</x:v>
      </x:c>
      <x:c r="E38" s="1"/>
    </x:row>
    <x:row r="39" ht="25" customHeight="1">
      <x:c r="A39" s="1"/>
      <x:c r="B39" s="6"/>
      <x:c r="C39" s="6"/>
      <x:c r="D39" s="6"/>
      <x:c r="E39" s="1"/>
    </x:row>
    <x:row r="40" ht="25" customHeight="1">
      <x:c r="A40" s="1" t="str">
        <x:v>New video GB per month</x:v>
      </x:c>
      <x:c r="B40" s="6" t="n">
        <x:f>B23*'Inputs'!B30*'Inputs'!B31*60*'Inputs'!B32/8/1000*(1+'Inputs'!B33)</x:f>
        <x:v>59.400000000000006</x:v>
      </x:c>
      <x:c r="C40" s="6" t="n">
        <x:f>C23*'Inputs'!B30*'Inputs'!B31*60*'Inputs'!B32/8/1000*(1+'Inputs'!B33)</x:f>
        <x:v>268.785</x:v>
      </x:c>
      <x:c r="D40" s="6" t="n">
        <x:f>D23*'Inputs'!B30*'Inputs'!B31*60*'Inputs'!B32/8/1000*(1+'Inputs'!B33)</x:f>
        <x:v>5375.700000000001</x:v>
      </x:c>
      <x:c r="E40" s="1"/>
    </x:row>
    <x:row r="41" ht="25" customHeight="1">
      <x:c r="A41" s="1" t="str">
        <x:v>Active video storage GB</x:v>
      </x:c>
      <x:c r="B41" s="6" t="n">
        <x:f>B40*'Inputs'!B34/30</x:f>
        <x:v>59.400000000000006</x:v>
      </x:c>
      <x:c r="C41" s="6" t="n">
        <x:f>C40*'Inputs'!B34/30</x:f>
        <x:v>268.785</x:v>
      </x:c>
      <x:c r="D41" s="6" t="n">
        <x:f>D40*'Inputs'!B34/30</x:f>
        <x:v>5375.700000000001</x:v>
      </x:c>
      <x:c r="E41" s="1"/>
    </x:row>
    <x:row r="42" ht="25" customHeight="1">
      <x:c r="A42" s="1" t="str">
        <x:v>Cloud quota GB</x:v>
      </x:c>
      <x:c r="B42" s="6" t="n">
        <x:f>B4*'Inputs'!B11+B18*'Inputs'!B17+B9*'Inputs'!B57</x:f>
        <x:v>100</x:v>
      </x:c>
      <x:c r="C42" s="6" t="n">
        <x:f>C4*'Inputs'!B11+C18*'Inputs'!B17+C9*'Inputs'!B57</x:f>
        <x:v>1750</x:v>
      </x:c>
      <x:c r="D42" s="6" t="n">
        <x:f>D4*'Inputs'!B11+D18*'Inputs'!B17+D9*'Inputs'!B57</x:f>
        <x:v>35000</x:v>
      </x:c>
      <x:c r="E42" s="1"/>
    </x:row>
    <x:row r="43" ht="25" customHeight="1">
      <x:c r="A43" s="1" t="str">
        <x:v>Primary outbound GB</x:v>
      </x:c>
      <x:c r="B43" s="6" t="n">
        <x:f>B40*('Inputs'!B36+'Inputs'!B37)+B22*'Inputs'!B38</x:f>
        <x:v>180.20000000000002</x:v>
      </x:c>
      <x:c r="C43" s="6" t="n">
        <x:f>C40*('Inputs'!B36+'Inputs'!B37)+C22*'Inputs'!B38</x:f>
        <x:v>844.455</x:v>
      </x:c>
      <x:c r="D43" s="6" t="n">
        <x:f>D40*('Inputs'!B36+'Inputs'!B37)+D22*'Inputs'!B38</x:f>
        <x:v>16689.100000000002</x:v>
      </x:c>
      <x:c r="E43" s="1"/>
    </x:row>
    <x:row r="44" ht="25" customHeight="1">
      <x:c r="A44" s="1" t="str">
        <x:v>Recovery storage GB</x:v>
      </x:c>
      <x:c r="B44" s="6" t="n">
        <x:f>B41+B40*'Inputs'!B35/30+'Inputs'!B40</x:f>
        <x:v>83.26</x:v>
      </x:c>
      <x:c r="C44" s="6" t="n">
        <x:f>C41+C40*'Inputs'!B35/30+'Inputs'!B40</x:f>
        <x:v>341.5015</x:v>
      </x:c>
      <x:c r="D44" s="6" t="n">
        <x:f>D41+D40*'Inputs'!B35/30+'Inputs'!B40</x:f>
        <x:v>6640.030000000001</x:v>
      </x:c>
      <x:c r="E44" s="1"/>
    </x:row>
    <x:row r="45" ht="25" customHeight="1">
      <x:c r="A45" s="1" t="str">
        <x:v>Supabase USD</x:v>
      </x:c>
      <x:c r="B45" s="6" t="n">
        <x:f>'Inputs'!B42+B11+MAX(0,B41+'Inputs'!B39-'Inputs'!B43)*'Inputs'!B44+MAX(0,B43-'Inputs'!B45)*'Inputs'!B46</x:f>
        <x:v>35</x:v>
      </x:c>
      <x:c r="C45" s="6" t="n">
        <x:f>'Inputs'!B42+C11+MAX(0,C41+'Inputs'!B39-'Inputs'!B43)*'Inputs'!B44+MAX(0,C43-'Inputs'!B45)*'Inputs'!B46</x:f>
        <x:v>92.3090705</x:v>
      </x:c>
      <x:c r="D45" s="6" t="n">
        <x:f>'Inputs'!B42+D11+MAX(0,D41+'Inputs'!B39-'Inputs'!B43)*'Inputs'!B44+MAX(0,D43-'Inputs'!B45)*'Inputs'!B46</x:f>
        <x:v>1677.1044100000004</x:v>
      </x:c>
      <x:c r="E45" s="1"/>
    </x:row>
    <x:row r="46" ht="25" customHeight="1">
      <x:c r="A46" s="1" t="str">
        <x:v>Vercel USD</x:v>
      </x:c>
      <x:c r="B46" s="6" t="n">
        <x:f>'Inputs'!B47+B12</x:f>
        <x:v>20</x:v>
      </x:c>
      <x:c r="C46" s="6" t="n">
        <x:f>'Inputs'!B47+C12</x:f>
        <x:v>30</x:v>
      </x:c>
      <x:c r="D46" s="6" t="n">
        <x:f>'Inputs'!B47+D12</x:f>
        <x:v>120</x:v>
      </x:c>
      <x:c r="E46" s="1"/>
    </x:row>
    <x:row r="47" ht="25" customHeight="1">
      <x:c r="A47" s="1" t="str">
        <x:v>Recovery storage/jobs USD</x:v>
      </x:c>
      <x:c r="B47" s="6" t="n">
        <x:f>B44*'Inputs'!B48+'Inputs'!B49</x:f>
        <x:v>12.4978</x:v>
      </x:c>
      <x:c r="C47" s="6" t="n">
        <x:f>C44*'Inputs'!B48+'Inputs'!B49</x:f>
        <x:v>20.245045</x:v>
      </x:c>
      <x:c r="D47" s="6" t="n">
        <x:f>D44*'Inputs'!B48+'Inputs'!B49</x:f>
        <x:v>209.20090000000002</x:v>
      </x:c>
      <x:c r="E47" s="1"/>
    </x:row>
    <x:row r="48" ht="25" customHeight="1">
      <x:c r="A48" s="1" t="str">
        <x:v>Email/observability USD</x:v>
      </x:c>
      <x:c r="B48" s="6" t="n">
        <x:f>'Inputs'!B50+'Inputs'!B51</x:f>
        <x:v>15</x:v>
      </x:c>
      <x:c r="C48" s="6" t="n">
        <x:f>'Inputs'!B50+'Inputs'!B51</x:f>
        <x:v>15</x:v>
      </x:c>
      <x:c r="D48" s="6" t="n">
        <x:f>'Inputs'!B50+'Inputs'!B51</x:f>
        <x:v>15</x:v>
      </x:c>
      <x:c r="E48" s="1"/>
    </x:row>
    <x:row r="49" ht="25" customHeight="1">
      <x:c r="A49" s="1" t="str">
        <x:v>Total cloud USD</x:v>
      </x:c>
      <x:c r="B49" s="6" t="n">
        <x:f>SUM(B45:B48)</x:f>
        <x:v>82.4978</x:v>
      </x:c>
      <x:c r="C49" s="6" t="n">
        <x:f>SUM(C45:C48)</x:f>
        <x:v>157.5541155</x:v>
      </x:c>
      <x:c r="D49" s="6" t="n">
        <x:f>SUM(D45:D48)</x:f>
        <x:v>2021.3053100000004</x:v>
      </x:c>
      <x:c r="E49" s="1"/>
    </x:row>
    <x:row r="50" ht="25" customHeight="1">
      <x:c r="A50" s="1" t="str">
        <x:v>Total cloud AUD</x:v>
      </x:c>
      <x:c r="B50" s="6" t="n">
        <x:f>B49*'Inputs'!B4</x:f>
        <x:v>127.87159</x:v>
      </x:c>
      <x:c r="C50" s="6" t="n">
        <x:f>C49*'Inputs'!B4</x:f>
        <x:v>244.208879025</x:v>
      </x:c>
      <x:c r="D50" s="6" t="n">
        <x:f>D49*'Inputs'!B4</x:f>
        <x:v>3133.023230500001</x:v>
      </x:c>
      <x:c r="E50" s="1"/>
    </x:row>
    <x:row r="51" ht="25" customHeight="1">
      <x:c r="A51" s="1" t="str">
        <x:v>Delivery tools AUD</x:v>
      </x:c>
      <x:c r="B51" s="6" t="n">
        <x:f>B13*'Inputs'!B4</x:f>
        <x:v>155</x:v>
      </x:c>
      <x:c r="C51" s="6" t="n">
        <x:f>C13*'Inputs'!B4</x:f>
        <x:v>232.5</x:v>
      </x:c>
      <x:c r="D51" s="6" t="n">
        <x:f>D13*'Inputs'!B4</x:f>
        <x:v>387.5</x:v>
      </x:c>
      <x:c r="E51" s="1"/>
    </x:row>
    <x:row r="52" ht="25" customHeight="1">
      <x:c r="A52" s="1" t="str">
        <x:v>Support hours</x:v>
      </x:c>
      <x:c r="B52" s="6" t="n">
        <x:f>(B4*'Inputs'!B53+(B5+B10)*'Inputs'!B54+B7*'Inputs'!B55+B8*'Inputs'!B56)/60</x:f>
        <x:v>1.0666666666666667</x:v>
      </x:c>
      <x:c r="C52" s="6" t="n">
        <x:f>(C4*'Inputs'!B53+(C5+C10)*'Inputs'!B54+C7*'Inputs'!B55+C8*'Inputs'!B56)/60</x:f>
        <x:v>5.333333333333333</x:v>
      </x:c>
      <x:c r="D52" s="6" t="n">
        <x:f>(D4*'Inputs'!B53+(D5+D10)*'Inputs'!B54+D7*'Inputs'!B55+D8*'Inputs'!B56)/60</x:f>
        <x:v>75</x:v>
      </x:c>
      <x:c r="E52" s="1"/>
    </x:row>
    <x:row r="53" ht="25" customHeight="1">
      <x:c r="A53" s="1" t="str">
        <x:v>Support economic cost AUD</x:v>
      </x:c>
      <x:c r="B53" s="6" t="n">
        <x:f>B52*'Inputs'!B52</x:f>
        <x:v>53.333333333333336</x:v>
      </x:c>
      <x:c r="C53" s="6" t="n">
        <x:f>C52*'Inputs'!B52</x:f>
        <x:v>266.66666666666663</x:v>
      </x:c>
      <x:c r="D53" s="6" t="n">
        <x:f>D52*'Inputs'!B52</x:f>
        <x:v>3750</x:v>
      </x:c>
      <x:c r="E53" s="1"/>
    </x:row>
    <x:row r="54" ht="25" customHeight="1">
      <x:c r="A54" s="1" t="str">
        <x:v>Other business + maintenance AUD</x:v>
      </x:c>
      <x:c r="B54" s="6" t="n">
        <x:f>B14+B15</x:f>
        <x:v>500</x:v>
      </x:c>
      <x:c r="C54" s="6" t="n">
        <x:f>C14+C15</x:f>
        <x:v>1250</x:v>
      </x:c>
      <x:c r="D54" s="6" t="n">
        <x:f>D14+D15</x:f>
        <x:v>4500</x:v>
      </x:c>
      <x:c r="E54" s="1"/>
    </x:row>
    <x:row r="55" ht="25" customHeight="1">
      <x:c r="A55" s="1" t="str">
        <x:v>Contribution before founder target AUD</x:v>
      </x:c>
      <x:c r="B55" s="6" t="n">
        <x:f>B28-B38-B50-B51-B53-B54</x:f>
        <x:v>-836.2049233333332</x:v>
      </x:c>
      <x:c r="C55" s="6" t="n">
        <x:f>C28-C38-C50-C51-C53-C54</x:f>
        <x:v>-903.1589256916667</x:v>
      </x:c>
      <x:c r="D55" s="6" t="n">
        <x:f>D28-D38-D50-D51-D53-D54</x:f>
        <x:v>10428.794169499997</x:v>
      </x:c>
      <x:c r="E55" s="1"/>
    </x:row>
    <x:row r="56" ht="25" customHeight="1">
      <x:c r="A56" s="1" t="str">
        <x:v>Contribution after founder target AUD</x:v>
      </x:c>
      <x:c r="B56" s="6" t="n">
        <x:f>B55-B16</x:f>
        <x:v>-836.2049233333332</x:v>
      </x:c>
      <x:c r="C56" s="6" t="n">
        <x:f>C55-C16</x:f>
        <x:v>-5903.158925691667</x:v>
      </x:c>
      <x:c r="D56" s="6" t="n">
        <x:f>D55-D16</x:f>
        <x:v>3428.794169499997</x:v>
      </x:c>
      <x:c r="E56" s="1"/>
    </x:row>
    <x:row r="57" ht="25" customHeight="1">
      <x:c r="A57" s="1"/>
      <x:c r="B57" s="6"/>
      <x:c r="C57" s="6"/>
      <x:c r="D57" s="6"/>
      <x:c r="E57" s="1"/>
    </x:row>
    <x:row r="58" ht="25" customHeight="1">
      <x:c r="A58" s="1" t="str">
        <x:v>MRR is recognized monthly value. Annual receipts, tax settlement and cash runway are not forecast here.</x:v>
      </x:c>
      <x:c r="B58" s="6"/>
      <x:c r="C58" s="6"/>
      <x:c r="D58" s="6"/>
      <x:c r="E58" s="1"/>
    </x:row>
    <x:row r="59" ht="25" customHeight="1">
      <x:c r="A59" s="1" t="str">
        <x:v>Storage is demand modeled before quota enforcement; uploads must stop at each actual owner allowance.</x:v>
      </x:c>
      <x:c r="B59" s="6"/>
      <x:c r="C59" s="6"/>
      <x:c r="D59" s="6"/>
      <x:c r="E59" s="1"/>
    </x:row>
    <x:row r="60" ht="25" customHeight="1">
      <x:c r="A60" s="1" t="str">
        <x:v>Cloud cost includes backup transfer. Multi-club duplicates and provider tax bases need actual reconciliation.</x:v>
      </x:c>
      <x:c r="B60" s="6"/>
      <x:c r="C60" s="6"/>
      <x:c r="D60" s="6"/>
      <x:c r="E60" s="1"/>
    </x:row>
    <x:row r="61" ht="25" customHeight="1">
      <x:c r="A61" s="1"/>
      <x:c r="B61" s="6"/>
      <x:c r="C61" s="6"/>
      <x:c r="D61" s="6"/>
      <x:c r="E61" s="1"/>
    </x:row>
    <x:row r="62" ht="25" customHeight="1">
      <x:c r="A62" s="1"/>
      <x:c r="B62" s="6"/>
      <x:c r="C62" s="6"/>
      <x:c r="D62" s="6"/>
      <x:c r="E62" s="1"/>
    </x:row>
    <x:row r="63" ht="25" customHeight="1">
      <x:c r="A63" s="1"/>
      <x:c r="B63" s="6"/>
      <x:c r="C63" s="6"/>
      <x:c r="D63" s="6"/>
      <x:c r="E63" s="1"/>
    </x:row>
    <x:row r="64" ht="25" customHeight="1">
      <x:c r="A64" s="1"/>
      <x:c r="B64" s="6"/>
      <x:c r="C64" s="6"/>
      <x:c r="D64" s="6"/>
      <x:c r="E64" s="1"/>
    </x:row>
    <x:row r="65" ht="25" customHeight="1">
      <x:c r="A65" s="1"/>
      <x:c r="B65" s="6"/>
      <x:c r="C65" s="6"/>
      <x:c r="D65" s="6"/>
      <x:c r="E65" s="1"/>
    </x:row>
    <x:row r="66" ht="25" customHeight="1">
      <x:c r="A66" s="1"/>
      <x:c r="B66" s="6"/>
      <x:c r="C66" s="6"/>
      <x:c r="D66" s="6"/>
      <x:c r="E66" s="1"/>
    </x:row>
    <x:row r="67" ht="25" customHeight="1">
      <x:c r="A67" s="1"/>
      <x:c r="B67" s="6"/>
      <x:c r="C67" s="6"/>
      <x:c r="D67" s="6"/>
      <x:c r="E67" s="1"/>
    </x:row>
    <x:row r="68" ht="25" customHeight="1">
      <x:c r="A68" s="1"/>
      <x:c r="B68" s="6"/>
      <x:c r="C68" s="6"/>
      <x:c r="D68" s="6"/>
      <x:c r="E68" s="1"/>
    </x:row>
    <x:row r="69" ht="25" customHeight="1">
      <x:c r="A69" s="1"/>
      <x:c r="B69" s="6"/>
      <x:c r="C69" s="6"/>
      <x:c r="D69" s="6"/>
      <x:c r="E69" s="1"/>
    </x:row>
    <x:row r="70" ht="25" customHeight="1">
      <x:c r="A70" s="1"/>
      <x:c r="B70" s="6"/>
      <x:c r="C70" s="6"/>
      <x:c r="D70" s="6"/>
      <x:c r="E70" s="1"/>
    </x:row>
    <x:row r="71" ht="25" customHeight="1">
      <x:c r="A71" s="1"/>
      <x:c r="B71" s="6"/>
      <x:c r="C71" s="6"/>
      <x:c r="D71" s="6"/>
      <x:c r="E71" s="1"/>
    </x:row>
    <x:row r="72" ht="25" customHeight="1">
      <x:c r="A72" s="1"/>
      <x:c r="B72" s="6"/>
      <x:c r="C72" s="6"/>
      <x:c r="D72" s="6"/>
      <x:c r="E72" s="1"/>
    </x:row>
    <x:row r="73" ht="25" customHeight="1">
      <x:c r="A73" s="1"/>
      <x:c r="B73" s="6"/>
      <x:c r="C73" s="6"/>
      <x:c r="D73" s="6"/>
      <x:c r="E73" s="1"/>
    </x:row>
    <x:row r="74" ht="25" customHeight="1">
      <x:c r="A74" s="1"/>
      <x:c r="B74" s="6"/>
      <x:c r="C74" s="6"/>
      <x:c r="D74" s="6"/>
      <x:c r="E74" s="1"/>
    </x:row>
    <x:row r="75" ht="25" customHeight="1">
      <x:c r="A75" s="1"/>
      <x:c r="B75" s="6"/>
      <x:c r="C75" s="6"/>
      <x:c r="D75" s="6"/>
      <x:c r="E75" s="1"/>
    </x:row>
    <x:row r="76" ht="25" customHeight="1">
      <x:c r="A76" s="1"/>
      <x:c r="B76" s="6"/>
      <x:c r="C76" s="6"/>
      <x:c r="D76" s="6"/>
      <x:c r="E76" s="1"/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1:D1"/>
  </x:mergeCells>
  <x:conditionalFormatting sqref="B4:D60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" hidden="0" customWidth="1"/>
    <x:col min="3" max="3" width="19" hidden="0" customWidth="1"/>
    <x:col min="4" max="4" width="19" hidden="0" customWidth="1"/>
    <x:col min="5" max="5" width="52" hidden="0" customWidth="1"/>
  </x:cols>
  <x:sheetData>
    <x:row r="1" ht="32" customHeight="1">
      <x:c r="A1" s="3" t="str">
        <x:v>MARGINAL UNIT ECONOMICS • monthly purchase • AUD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Metric</x:v>
      </x:c>
      <x:c r="B3" s="5" t="str">
        <x:v>Family store</x:v>
      </x:c>
      <x:c r="C3" s="5" t="str">
        <x:v>Family web</x:v>
      </x:c>
      <x:c r="D3" s="5" t="str">
        <x:v>Club seat</x:v>
      </x:c>
      <x:c r="E3" s="5"/>
    </x:row>
    <x:row r="4" ht="25" customHeight="1">
      <x:c r="A4" s="1"/>
      <x:c r="B4" s="6"/>
      <x:c r="C4" s="6"/>
      <x:c r="D4" s="6"/>
      <x:c r="E4" s="1"/>
    </x:row>
    <x:row r="5" ht="25" customHeight="1">
      <x:c r="A5" s="1" t="str">
        <x:v>Revenue ex GST</x:v>
      </x:c>
      <x:c r="B5" s="6" t="n">
        <x:f>'Inputs'!B6/(1+'Inputs'!B5)</x:f>
        <x:v>13.627272727272727</x:v>
      </x:c>
      <x:c r="C5" s="6" t="n">
        <x:f>B5</x:f>
        <x:v>13.627272727272727</x:v>
      </x:c>
      <x:c r="D5" s="6" t="n">
        <x:f>'Inputs'!B12</x:f>
        <x:v>5</x:v>
      </x:c>
      <x:c r="E5" s="1"/>
    </x:row>
    <x:row r="6" ht="25" customHeight="1">
      <x:c r="A6" s="1" t="str">
        <x:v>Payment / reserve</x:v>
      </x:c>
      <x:c r="B6" s="6" t="n">
        <x:f>B5*('Inputs'!B21+'Inputs'!B28)+'Inputs'!B6*'Inputs'!B26</x:f>
        <x:v>2.3302636363636364</x:v>
      </x:c>
      <x:c r="C6" s="6" t="n">
        <x:f>'Inputs'!B6*('Inputs'!B22+'Inputs'!B24)+'Inputs'!B23+C5*'Inputs'!B28</x:f>
        <x:v>0.7960327272727272</x:v>
      </x:c>
      <x:c r="D6" s="6" t="n">
        <x:f>D5*(1+'Inputs'!B5)*('Inputs'!B22+'Inputs'!B24)+'Inputs'!B23/'Inputs'!B15+D5*'Inputs'!B28</x:f>
        <x:v>0.194</x:v>
      </x:c>
      <x:c r="E6" s="1"/>
    </x:row>
    <x:row r="7" ht="25" customHeight="1">
      <x:c r="A7" s="1" t="str">
        <x:v>Expected uploaded GB</x:v>
      </x:c>
      <x:c r="B7" s="6" t="n">
        <x:f>'Inputs'!B30*'Inputs'!B31*60*'Inputs'!B32/8/1000*(1+'Inputs'!B33)*'Inputs'!B29*'Inputs'!B10</x:f>
        <x:v>2.9700000000000006</x:v>
      </x:c>
      <x:c r="C7" s="6" t="n">
        <x:f>B7</x:f>
        <x:v>2.9700000000000006</x:v>
      </x:c>
      <x:c r="D7" s="6" t="n">
        <x:f>'Inputs'!B30*'Inputs'!B31*60*'Inputs'!B32/8/1000*(1+'Inputs'!B33)*'Inputs'!B29*'Inputs'!B16</x:f>
        <x:v>0.8910000000000001</x:v>
      </x:c>
      <x:c r="E7" s="1"/>
    </x:row>
    <x:row r="8" ht="25" customHeight="1">
      <x:c r="A8" s="1" t="str">
        <x:v>Variable media cost</x:v>
      </x:c>
      <x:c r="B8" s="6" t="n">
        <x:f>B7*('Inputs'!B44*'Inputs'!B34/30+('Inputs'!B36+'Inputs'!B37)*'Inputs'!B46+('Inputs'!B34+'Inputs'!B35)/30*'Inputs'!B48)*'Inputs'!B4</x:f>
        <x:v>1.5113290500000003</x:v>
      </x:c>
      <x:c r="C8" s="6" t="n">
        <x:f>C7*('Inputs'!B44*'Inputs'!B34/30+('Inputs'!B36+'Inputs'!B37)*'Inputs'!B46+('Inputs'!B34+'Inputs'!B35)/30*'Inputs'!B48)*'Inputs'!B4</x:f>
        <x:v>1.5113290500000003</x:v>
      </x:c>
      <x:c r="D8" s="6" t="n">
        <x:f>D7*('Inputs'!B44*'Inputs'!B34/30+('Inputs'!B36+'Inputs'!B37)*'Inputs'!B46+('Inputs'!B34+'Inputs'!B35)/30*'Inputs'!B48)*'Inputs'!B4</x:f>
        <x:v>0.45339871500000006</x:v>
      </x:c>
      <x:c r="E8" s="1"/>
    </x:row>
    <x:row r="9" ht="25" customHeight="1">
      <x:c r="A9" s="1" t="str">
        <x:v>Support labor</x:v>
      </x:c>
      <x:c r="B9" s="6" t="n">
        <x:f>'Inputs'!B53/60*'Inputs'!B52</x:f>
        <x:v>1.6666666666666667</x:v>
      </x:c>
      <x:c r="C9" s="6" t="n">
        <x:f>B9</x:f>
        <x:v>1.6666666666666667</x:v>
      </x:c>
      <x:c r="D9" s="6" t="n">
        <x:f>'Inputs'!B54/60*'Inputs'!B52/'Inputs'!B15</x:f>
        <x:v>2</x:v>
      </x:c>
      <x:c r="E9" s="1"/>
    </x:row>
    <x:row r="10" ht="25" customHeight="1">
      <x:c r="A10" s="1"/>
      <x:c r="B10" s="6"/>
      <x:c r="C10" s="6"/>
      <x:c r="D10" s="6"/>
      <x:c r="E10" s="1"/>
    </x:row>
    <x:row r="11" ht="25" customHeight="1">
      <x:c r="A11" s="1" t="str">
        <x:v>Marginal contribution</x:v>
      </x:c>
      <x:c r="B11" s="6" t="n">
        <x:f>B5-B6-B8-B9</x:f>
        <x:v>8.119013374242424</x:v>
      </x:c>
      <x:c r="C11" s="6" t="n">
        <x:f>C5-C6-C8-C9</x:f>
        <x:v>9.653244283333333</x:v>
      </x:c>
      <x:c r="D11" s="6" t="n">
        <x:f>D5-D6-D8-D9</x:f>
        <x:v>2.3526012850000004</x:v>
      </x:c>
      <x:c r="E11" s="1"/>
    </x:row>
    <x:row r="12" ht="25" customHeight="1">
      <x:c r="A12" s="1"/>
      <x:c r="B12" s="6"/>
      <x:c r="C12" s="6"/>
      <x:c r="D12" s="6"/>
      <x:c r="E12" s="1"/>
    </x:row>
    <x:row r="13" ht="25" customHeight="1">
      <x:c r="A13" s="1"/>
      <x:c r="B13" s="6"/>
      <x:c r="C13" s="6"/>
      <x:c r="D13" s="6"/>
      <x:c r="E13" s="1"/>
    </x:row>
    <x:row r="14" ht="40" customHeight="1">
      <x:c r="A14" s="9" t="str">
        <x:v>Above-threshold RevenueCat fee used conservatively for the store unit.</x:v>
      </x:c>
      <x:c r="B14" s="11"/>
      <x:c r="C14" s="11"/>
      <x:c r="D14" s="11"/>
      <x:c r="E14" s="1"/>
    </x:row>
    <x:row r="15" ht="40" customHeight="1">
      <x:c r="A15" s="9" t="str">
        <x:v>Marginal rates exclude shared free cloud allowances, fixed hosting, demo traffic, acquisition and development.</x:v>
      </x:c>
      <x:c r="B15" s="11"/>
      <x:c r="C15" s="11"/>
      <x:c r="D15" s="11"/>
      <x:c r="E15" s="1"/>
    </x:row>
    <x:row r="16" ht="40" customHeight="1">
      <x:c r="A16" s="9" t="str">
        <x:v>Club fixed charge/support spread over minimum 25 seats. Actual club size changes unit cost.</x:v>
      </x:c>
      <x:c r="B16" s="11"/>
      <x:c r="C16" s="11"/>
      <x:c r="D16" s="11"/>
      <x:c r="E16" s="1"/>
    </x:row>
    <x:row r="17" ht="40" customHeight="1">
      <x:c r="A17" s="9" t="str">
        <x:v>These are monthly-plan unit views; Scenarios blends monthly/annual prices and transactions.</x:v>
      </x:c>
      <x:c r="B17" s="11"/>
      <x:c r="C17" s="11"/>
      <x:c r="D17" s="11"/>
      <x:c r="E17" s="1"/>
    </x:row>
    <x:row r="18" ht="25" customHeight="1">
      <x:c r="A18" s="1"/>
      <x:c r="B18" s="6"/>
      <x:c r="C18" s="6"/>
      <x:c r="D18" s="6"/>
      <x:c r="E18" s="1"/>
    </x:row>
    <x:row r="19" ht="25" customHeight="1">
      <x:c r="A19" s="1"/>
      <x:c r="B19" s="6"/>
      <x:c r="C19" s="6"/>
      <x:c r="D19" s="6"/>
      <x:c r="E19" s="1"/>
    </x:row>
    <x:row r="20" ht="25" customHeight="1">
      <x:c r="A20" s="1"/>
      <x:c r="B20" s="6"/>
      <x:c r="C20" s="6"/>
      <x:c r="D20" s="6"/>
      <x:c r="E20" s="1"/>
    </x:row>
    <x:row r="21" ht="25" customHeight="1">
      <x:c r="A21" s="1"/>
      <x:c r="B21" s="6"/>
      <x:c r="C21" s="6"/>
      <x:c r="D21" s="6"/>
      <x:c r="E21" s="1"/>
    </x:row>
    <x:row r="22" ht="25" customHeight="1">
      <x:c r="A22" s="1"/>
      <x:c r="B22" s="6"/>
      <x:c r="C22" s="6"/>
      <x:c r="D22" s="6"/>
      <x:c r="E22" s="1"/>
    </x:row>
    <x:row r="23" ht="25" customHeight="1">
      <x:c r="A23" s="1"/>
      <x:c r="B23" s="6"/>
      <x:c r="C23" s="6"/>
      <x:c r="D23" s="6"/>
      <x:c r="E23" s="1"/>
    </x:row>
    <x:row r="24" ht="25" customHeight="1">
      <x:c r="A24" s="1"/>
      <x:c r="B24" s="6"/>
      <x:c r="C24" s="6"/>
      <x:c r="D24" s="6"/>
      <x:c r="E24" s="1"/>
    </x:row>
    <x:row r="25" ht="25" customHeight="1">
      <x:c r="A25" s="1"/>
      <x:c r="B25" s="6"/>
      <x:c r="C25" s="6"/>
      <x:c r="D25" s="6"/>
      <x:c r="E25" s="1"/>
    </x:row>
    <x:row r="26" ht="25" customHeight="1">
      <x:c r="A26" s="1"/>
      <x:c r="B26" s="6"/>
      <x:c r="C26" s="6"/>
      <x:c r="D26" s="6"/>
      <x:c r="E26" s="1"/>
    </x:row>
    <x:row r="27" ht="25" customHeight="1">
      <x:c r="A27" s="1"/>
      <x:c r="B27" s="6"/>
      <x:c r="C27" s="6"/>
      <x:c r="D27" s="6"/>
      <x:c r="E27" s="1"/>
    </x:row>
    <x:row r="28" ht="25" customHeight="1">
      <x:c r="A28" s="1"/>
      <x:c r="B28" s="6"/>
      <x:c r="C28" s="6"/>
      <x:c r="D28" s="6"/>
      <x:c r="E28" s="1"/>
    </x:row>
    <x:row r="29" ht="25" customHeight="1">
      <x:c r="A29" s="1"/>
      <x:c r="B29" s="6"/>
      <x:c r="C29" s="6"/>
      <x:c r="D29" s="6"/>
      <x:c r="E29" s="1"/>
    </x:row>
    <x:row r="30" ht="25" customHeight="1">
      <x:c r="A30" s="1"/>
      <x:c r="B30" s="6"/>
      <x:c r="C30" s="6"/>
      <x:c r="D30" s="6"/>
      <x:c r="E30" s="1"/>
    </x:row>
    <x:row r="31" ht="25" customHeight="1">
      <x:c r="A31" s="1"/>
      <x:c r="B31" s="6"/>
      <x:c r="C31" s="6"/>
      <x:c r="D31" s="6"/>
      <x:c r="E31" s="1"/>
    </x:row>
    <x:row r="32" ht="25" customHeight="1">
      <x:c r="A32" s="1"/>
      <x:c r="B32" s="6"/>
      <x:c r="C32" s="6"/>
      <x:c r="D32" s="6"/>
      <x:c r="E32" s="1"/>
    </x:row>
    <x:row r="33" ht="25" customHeight="1">
      <x:c r="A33" s="1"/>
      <x:c r="B33" s="6"/>
      <x:c r="C33" s="6"/>
      <x:c r="D33" s="6"/>
      <x:c r="E33" s="1"/>
    </x:row>
    <x:row r="34" ht="25" customHeight="1">
      <x:c r="A34" s="1"/>
      <x:c r="B34" s="6"/>
      <x:c r="C34" s="6"/>
      <x:c r="D34" s="6"/>
      <x:c r="E34" s="1"/>
    </x:row>
    <x:row r="35" ht="25" customHeight="1">
      <x:c r="A35" s="1"/>
      <x:c r="B35" s="6"/>
      <x:c r="C35" s="6"/>
      <x:c r="D35" s="6"/>
      <x:c r="E35" s="1"/>
    </x:row>
    <x:row r="36" ht="25" customHeight="1">
      <x:c r="A36" s="1"/>
      <x:c r="B36" s="6"/>
      <x:c r="C36" s="6"/>
      <x:c r="D36" s="6"/>
      <x:c r="E36" s="1"/>
    </x:row>
    <x:row r="37" ht="25" customHeight="1">
      <x:c r="A37" s="1"/>
      <x:c r="B37" s="6"/>
      <x:c r="C37" s="6"/>
      <x:c r="D37" s="6"/>
      <x:c r="E37" s="1"/>
    </x:row>
    <x:row r="38" ht="25" customHeight="1">
      <x:c r="A38" s="1"/>
      <x:c r="B38" s="6"/>
      <x:c r="C38" s="6"/>
      <x:c r="D38" s="6"/>
      <x:c r="E38" s="1"/>
    </x:row>
    <x:row r="39" ht="25" customHeight="1">
      <x:c r="A39" s="1"/>
      <x:c r="B39" s="6"/>
      <x:c r="C39" s="6"/>
      <x:c r="D39" s="6"/>
      <x:c r="E39" s="1"/>
    </x:row>
    <x:row r="40" ht="25" customHeight="1">
      <x:c r="A40" s="1"/>
      <x:c r="B40" s="6"/>
      <x:c r="C40" s="6"/>
      <x:c r="D40" s="6"/>
      <x:c r="E40" s="1"/>
    </x:row>
    <x:row r="41" ht="25" customHeight="1">
      <x:c r="A41" s="1"/>
      <x:c r="B41" s="6"/>
      <x:c r="C41" s="6"/>
      <x:c r="D41" s="6"/>
      <x:c r="E41" s="1"/>
    </x:row>
    <x:row r="42" ht="25" customHeight="1">
      <x:c r="A42" s="1"/>
      <x:c r="B42" s="6"/>
      <x:c r="C42" s="6"/>
      <x:c r="D42" s="6"/>
      <x:c r="E42" s="1"/>
    </x:row>
    <x:row r="43" ht="25" customHeight="1">
      <x:c r="A43" s="1"/>
      <x:c r="B43" s="6"/>
      <x:c r="C43" s="6"/>
      <x:c r="D43" s="6"/>
      <x:c r="E43" s="1"/>
    </x:row>
    <x:row r="44" ht="25" customHeight="1">
      <x:c r="A44" s="1"/>
      <x:c r="B44" s="6"/>
      <x:c r="C44" s="6"/>
      <x:c r="D44" s="6"/>
      <x:c r="E44" s="1"/>
    </x:row>
    <x:row r="45" ht="25" customHeight="1">
      <x:c r="A45" s="1"/>
      <x:c r="B45" s="6"/>
      <x:c r="C45" s="6"/>
      <x:c r="D45" s="6"/>
      <x:c r="E45" s="1"/>
    </x:row>
    <x:row r="46" ht="25" customHeight="1">
      <x:c r="A46" s="1"/>
      <x:c r="B46" s="6"/>
      <x:c r="C46" s="6"/>
      <x:c r="D46" s="6"/>
      <x:c r="E46" s="1"/>
    </x:row>
    <x:row r="47" ht="25" customHeight="1">
      <x:c r="A47" s="1"/>
      <x:c r="B47" s="6"/>
      <x:c r="C47" s="6"/>
      <x:c r="D47" s="6"/>
      <x:c r="E47" s="1"/>
    </x:row>
    <x:row r="48" ht="25" customHeight="1">
      <x:c r="A48" s="1"/>
      <x:c r="B48" s="6"/>
      <x:c r="C48" s="6"/>
      <x:c r="D48" s="6"/>
      <x:c r="E48" s="1"/>
    </x:row>
    <x:row r="49" ht="25" customHeight="1">
      <x:c r="A49" s="1"/>
      <x:c r="B49" s="6"/>
      <x:c r="C49" s="6"/>
      <x:c r="D49" s="6"/>
      <x:c r="E49" s="1"/>
    </x:row>
    <x:row r="50" ht="25" customHeight="1">
      <x:c r="A50" s="1"/>
      <x:c r="B50" s="6"/>
      <x:c r="C50" s="6"/>
      <x:c r="D50" s="6"/>
      <x:c r="E50" s="1"/>
    </x:row>
    <x:row r="51" ht="25" customHeight="1">
      <x:c r="A51" s="1"/>
      <x:c r="B51" s="6"/>
      <x:c r="C51" s="6"/>
      <x:c r="D51" s="6"/>
      <x:c r="E51" s="1"/>
    </x:row>
    <x:row r="52" ht="25" customHeight="1">
      <x:c r="A52" s="1"/>
      <x:c r="B52" s="6"/>
      <x:c r="C52" s="6"/>
      <x:c r="D52" s="6"/>
      <x:c r="E52" s="1"/>
    </x:row>
    <x:row r="53" ht="25" customHeight="1">
      <x:c r="A53" s="1"/>
      <x:c r="B53" s="6"/>
      <x:c r="C53" s="6"/>
      <x:c r="D53" s="6"/>
      <x:c r="E53" s="1"/>
    </x:row>
    <x:row r="54" ht="25" customHeight="1">
      <x:c r="A54" s="1"/>
      <x:c r="B54" s="6"/>
      <x:c r="C54" s="6"/>
      <x:c r="D54" s="6"/>
      <x:c r="E54" s="1"/>
    </x:row>
    <x:row r="55" ht="25" customHeight="1">
      <x:c r="A55" s="1"/>
      <x:c r="B55" s="6"/>
      <x:c r="C55" s="6"/>
      <x:c r="D55" s="6"/>
      <x:c r="E55" s="1"/>
    </x:row>
    <x:row r="56" ht="25" customHeight="1">
      <x:c r="A56" s="1"/>
      <x:c r="B56" s="6"/>
      <x:c r="C56" s="6"/>
      <x:c r="D56" s="6"/>
      <x:c r="E56" s="1"/>
    </x:row>
    <x:row r="57" ht="25" customHeight="1">
      <x:c r="A57" s="1"/>
      <x:c r="B57" s="6"/>
      <x:c r="C57" s="6"/>
      <x:c r="D57" s="6"/>
      <x:c r="E57" s="1"/>
    </x:row>
    <x:row r="58" ht="25" customHeight="1">
      <x:c r="A58" s="1"/>
      <x:c r="B58" s="6"/>
      <x:c r="C58" s="6"/>
      <x:c r="D58" s="6"/>
      <x:c r="E58" s="1"/>
    </x:row>
    <x:row r="59" ht="25" customHeight="1">
      <x:c r="A59" s="1"/>
      <x:c r="B59" s="6"/>
      <x:c r="C59" s="6"/>
      <x:c r="D59" s="6"/>
      <x:c r="E59" s="1"/>
    </x:row>
    <x:row r="60" ht="25" customHeight="1">
      <x:c r="A60" s="1"/>
      <x:c r="B60" s="6"/>
      <x:c r="C60" s="6"/>
      <x:c r="D60" s="6"/>
      <x:c r="E60" s="1"/>
    </x:row>
    <x:row r="61" ht="25" customHeight="1">
      <x:c r="A61" s="1"/>
      <x:c r="B61" s="6"/>
      <x:c r="C61" s="6"/>
      <x:c r="D61" s="6"/>
      <x:c r="E61" s="1"/>
    </x:row>
    <x:row r="62" ht="25" customHeight="1">
      <x:c r="A62" s="1"/>
      <x:c r="B62" s="6"/>
      <x:c r="C62" s="6"/>
      <x:c r="D62" s="6"/>
      <x:c r="E62" s="1"/>
    </x:row>
    <x:row r="63" ht="25" customHeight="1">
      <x:c r="A63" s="1"/>
      <x:c r="B63" s="6"/>
      <x:c r="C63" s="6"/>
      <x:c r="D63" s="6"/>
      <x:c r="E63" s="1"/>
    </x:row>
    <x:row r="64" ht="25" customHeight="1">
      <x:c r="A64" s="1"/>
      <x:c r="B64" s="6"/>
      <x:c r="C64" s="6"/>
      <x:c r="D64" s="6"/>
      <x:c r="E64" s="1"/>
    </x:row>
    <x:row r="65" ht="25" customHeight="1">
      <x:c r="A65" s="1"/>
      <x:c r="B65" s="6"/>
      <x:c r="C65" s="6"/>
      <x:c r="D65" s="6"/>
      <x:c r="E65" s="1"/>
    </x:row>
    <x:row r="66" ht="25" customHeight="1">
      <x:c r="A66" s="1"/>
      <x:c r="B66" s="6"/>
      <x:c r="C66" s="6"/>
      <x:c r="D66" s="6"/>
      <x:c r="E66" s="1"/>
    </x:row>
    <x:row r="67" ht="25" customHeight="1">
      <x:c r="A67" s="1"/>
      <x:c r="B67" s="6"/>
      <x:c r="C67" s="6"/>
      <x:c r="D67" s="6"/>
      <x:c r="E67" s="1"/>
    </x:row>
    <x:row r="68" ht="25" customHeight="1">
      <x:c r="A68" s="1"/>
      <x:c r="B68" s="6"/>
      <x:c r="C68" s="6"/>
      <x:c r="D68" s="6"/>
      <x:c r="E68" s="1"/>
    </x:row>
    <x:row r="69" ht="25" customHeight="1">
      <x:c r="A69" s="1"/>
      <x:c r="B69" s="6"/>
      <x:c r="C69" s="6"/>
      <x:c r="D69" s="6"/>
      <x:c r="E69" s="1"/>
    </x:row>
    <x:row r="70" ht="25" customHeight="1">
      <x:c r="A70" s="1"/>
      <x:c r="B70" s="6"/>
      <x:c r="C70" s="6"/>
      <x:c r="D70" s="6"/>
      <x:c r="E70" s="1"/>
    </x:row>
    <x:row r="71" ht="25" customHeight="1">
      <x:c r="A71" s="1"/>
      <x:c r="B71" s="6"/>
      <x:c r="C71" s="6"/>
      <x:c r="D71" s="6"/>
      <x:c r="E71" s="1"/>
    </x:row>
    <x:row r="72" ht="25" customHeight="1">
      <x:c r="A72" s="1"/>
      <x:c r="B72" s="6"/>
      <x:c r="C72" s="6"/>
      <x:c r="D72" s="6"/>
      <x:c r="E72" s="1"/>
    </x:row>
    <x:row r="73" ht="25" customHeight="1">
      <x:c r="A73" s="1"/>
      <x:c r="B73" s="6"/>
      <x:c r="C73" s="6"/>
      <x:c r="D73" s="6"/>
      <x:c r="E73" s="1"/>
    </x:row>
    <x:row r="74" ht="25" customHeight="1">
      <x:c r="A74" s="1"/>
      <x:c r="B74" s="6"/>
      <x:c r="C74" s="6"/>
      <x:c r="D74" s="6"/>
      <x:c r="E74" s="1"/>
    </x:row>
    <x:row r="75" ht="25" customHeight="1">
      <x:c r="A75" s="1"/>
      <x:c r="B75" s="6"/>
      <x:c r="C75" s="6"/>
      <x:c r="D75" s="6"/>
      <x:c r="E75" s="1"/>
    </x:row>
    <x:row r="76" ht="25" customHeight="1">
      <x:c r="A76" s="1"/>
      <x:c r="B76" s="6"/>
      <x:c r="C76" s="6"/>
      <x:c r="D76" s="6"/>
      <x:c r="E76" s="1"/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14:D14"/>
    <x:mergeCell ref="A15:D15"/>
    <x:mergeCell ref="A16:D16"/>
    <x:mergeCell ref="A17:D17"/>
    <x:mergeCell ref="A1:D1"/>
  </x:mergeCells>
  <x:conditionalFormatting sqref="B4:D60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" hidden="0" customWidth="1"/>
    <x:col min="3" max="3" width="19" hidden="0" customWidth="1"/>
    <x:col min="4" max="4" width="19" hidden="0" customWidth="1"/>
    <x:col min="5" max="5" width="52" hidden="0" customWidth="1"/>
  </x:cols>
  <x:sheetData>
    <x:row r="1" ht="32" customHeight="1">
      <x:c r="A1" s="3" t="str">
        <x:v>ILLUSTRATIVE BUILD INVESTMENT • not a supplier estimate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Cost / effort</x:v>
      </x:c>
      <x:c r="B3" s="5" t="str">
        <x:v>Founder led</x:v>
      </x:c>
      <x:c r="C3" s="5" t="str">
        <x:v>Hybrid</x:v>
      </x:c>
      <x:c r="D3" s="5" t="str">
        <x:v>Commissioned</x:v>
      </x:c>
      <x:c r="E3" s="5"/>
    </x:row>
    <x:row r="4" ht="25" customHeight="1">
      <x:c r="A4" s="1" t="str">
        <x:v>External core engineering share</x:v>
      </x:c>
      <x:c r="B4" s="12" t="n">
        <x:v>0.1</x:v>
      </x:c>
      <x:c r="C4" s="12" t="n">
        <x:v>0.35</x:v>
      </x:c>
      <x:c r="D4" s="12" t="n">
        <x:v>1</x:v>
      </x:c>
      <x:c r="E4" s="1"/>
    </x:row>
    <x:row r="5" ht="25" customHeight="1">
      <x:c r="A5" s="1"/>
      <x:c r="B5" s="6"/>
      <x:c r="C5" s="6"/>
      <x:c r="D5" s="6"/>
      <x:c r="E5" s="1"/>
    </x:row>
    <x:row r="6" ht="25" customHeight="1">
      <x:c r="A6" s="1" t="str">
        <x:v>External core engineering AUD</x:v>
      </x:c>
      <x:c r="B6" s="6" t="n">
        <x:f>'Inputs'!B58*'Inputs'!B59*B4</x:f>
        <x:v>6875</x:v>
      </x:c>
      <x:c r="C6" s="6" t="n">
        <x:f>'Inputs'!B58*'Inputs'!B59*C4</x:f>
        <x:v>24062.5</x:v>
      </x:c>
      <x:c r="D6" s="6" t="n">
        <x:f>'Inputs'!B58*'Inputs'!B59*D4</x:f>
        <x:v>68750</x:v>
      </x:c>
      <x:c r="E6" s="1"/>
    </x:row>
    <x:row r="7" ht="25" customHeight="1">
      <x:c r="A7" s="1" t="str">
        <x:v>UX specialist AUD</x:v>
      </x:c>
      <x:c r="B7" s="6" t="n">
        <x:f>'Inputs'!B60*'Inputs'!B61</x:f>
        <x:v>8800</x:v>
      </x:c>
      <x:c r="C7" s="6" t="n">
        <x:f>'Inputs'!B60*'Inputs'!B61</x:f>
        <x:v>8800</x:v>
      </x:c>
      <x:c r="D7" s="6" t="n">
        <x:f>'Inputs'!B60*'Inputs'!B61</x:f>
        <x:v>8800</x:v>
      </x:c>
      <x:c r="E7" s="1"/>
    </x:row>
    <x:row r="8" ht="25" customHeight="1">
      <x:c r="A8" s="1" t="str">
        <x:v>Youth coach AUD</x:v>
      </x:c>
      <x:c r="B8" s="6" t="n">
        <x:f>'Inputs'!B62*'Inputs'!B63</x:f>
        <x:v>4000</x:v>
      </x:c>
      <x:c r="C8" s="6" t="n">
        <x:f>'Inputs'!B62*'Inputs'!B63</x:f>
        <x:v>4000</x:v>
      </x:c>
      <x:c r="D8" s="6" t="n">
        <x:f>'Inputs'!B62*'Inputs'!B63</x:f>
        <x:v>4000</x:v>
      </x:c>
      <x:c r="E8" s="1"/>
    </x:row>
    <x:row r="9" ht="25" customHeight="1">
      <x:c r="A9" s="1" t="str">
        <x:v>Animation specialist AUD</x:v>
      </x:c>
      <x:c r="B9" s="6" t="n">
        <x:f>'Inputs'!B64*'Inputs'!B65</x:f>
        <x:v>12000</x:v>
      </x:c>
      <x:c r="C9" s="6" t="n">
        <x:f>'Inputs'!B64*'Inputs'!B65</x:f>
        <x:v>12000</x:v>
      </x:c>
      <x:c r="D9" s="6" t="n">
        <x:f>'Inputs'!B64*'Inputs'!B65</x:f>
        <x:v>12000</x:v>
      </x:c>
      <x:c r="E9" s="1"/>
    </x:row>
    <x:row r="10" ht="25" customHeight="1">
      <x:c r="A10" s="1" t="str">
        <x:v>Privacy advice AUD</x:v>
      </x:c>
      <x:c r="B10" s="6" t="n">
        <x:f>'Inputs'!B66*'Inputs'!B67</x:f>
        <x:v>3200</x:v>
      </x:c>
      <x:c r="C10" s="6" t="n">
        <x:f>'Inputs'!B66*'Inputs'!B67</x:f>
        <x:v>3200</x:v>
      </x:c>
      <x:c r="D10" s="6" t="n">
        <x:f>'Inputs'!B66*'Inputs'!B67</x:f>
        <x:v>3200</x:v>
      </x:c>
      <x:c r="E10" s="1"/>
    </x:row>
    <x:row r="11" ht="25" customHeight="1">
      <x:c r="A11" s="1" t="str">
        <x:v>Security verification AUD</x:v>
      </x:c>
      <x:c r="B11" s="6" t="n">
        <x:f>'Inputs'!B68*'Inputs'!B69</x:f>
        <x:v>8000</x:v>
      </x:c>
      <x:c r="C11" s="6" t="n">
        <x:f>'Inputs'!B68*'Inputs'!B69</x:f>
        <x:v>8000</x:v>
      </x:c>
      <x:c r="D11" s="6" t="n">
        <x:f>'Inputs'!B68*'Inputs'!B69</x:f>
        <x:v>8000</x:v>
      </x:c>
      <x:c r="E11" s="1"/>
    </x:row>
    <x:row r="12" ht="25" customHeight="1">
      <x:c r="A12" s="1" t="str">
        <x:v>Devices AUD</x:v>
      </x:c>
      <x:c r="B12" s="6" t="n">
        <x:f>'Inputs'!B70</x:f>
        <x:v>2000</x:v>
      </x:c>
      <x:c r="C12" s="6" t="n">
        <x:f>'Inputs'!B70</x:f>
        <x:v>2000</x:v>
      </x:c>
      <x:c r="D12" s="6" t="n">
        <x:f>'Inputs'!B70</x:f>
        <x:v>2000</x:v>
      </x:c>
      <x:c r="E12" s="1"/>
    </x:row>
    <x:row r="13" ht="25" customHeight="1">
      <x:c r="A13" s="1" t="str">
        <x:v>Business setup AUD</x:v>
      </x:c>
      <x:c r="B13" s="6" t="n">
        <x:f>'Inputs'!B71</x:f>
        <x:v>2000</x:v>
      </x:c>
      <x:c r="C13" s="6" t="n">
        <x:f>'Inputs'!B71</x:f>
        <x:v>2000</x:v>
      </x:c>
      <x:c r="D13" s="6" t="n">
        <x:f>'Inputs'!B71</x:f>
        <x:v>2000</x:v>
      </x:c>
      <x:c r="E13" s="1"/>
    </x:row>
    <x:row r="14" ht="25" customHeight="1">
      <x:c r="A14" s="1" t="str">
        <x:v>Build services AUD</x:v>
      </x:c>
      <x:c r="B14" s="6" t="n">
        <x:f>'Inputs'!B72*'Inputs'!B73*'Inputs'!B4</x:f>
        <x:v>1395</x:v>
      </x:c>
      <x:c r="C14" s="6" t="n">
        <x:f>'Inputs'!B72*'Inputs'!B73*'Inputs'!B4</x:f>
        <x:v>1395</x:v>
      </x:c>
      <x:c r="D14" s="6" t="n">
        <x:f>'Inputs'!B72*'Inputs'!B73*'Inputs'!B4</x:f>
        <x:v>1395</x:v>
      </x:c>
      <x:c r="E14" s="1"/>
    </x:row>
    <x:row r="15" ht="25" customHeight="1">
      <x:c r="A15" s="1" t="str">
        <x:v>Subtotal cash AUD</x:v>
      </x:c>
      <x:c r="B15" s="6" t="n">
        <x:f>SUM(B6:B14)</x:f>
        <x:v>48270</x:v>
      </x:c>
      <x:c r="C15" s="6" t="n">
        <x:f>SUM(C6:C14)</x:f>
        <x:v>65457.5</x:v>
      </x:c>
      <x:c r="D15" s="6" t="n">
        <x:f>SUM(D6:D14)</x:f>
        <x:v>110145</x:v>
      </x:c>
      <x:c r="E15" s="1"/>
    </x:row>
    <x:row r="16" ht="25" customHeight="1">
      <x:c r="A16" s="1" t="str">
        <x:v>Contingency AUD</x:v>
      </x:c>
      <x:c r="B16" s="6" t="n">
        <x:f>B15*'Inputs'!B74</x:f>
        <x:v>12067.5</x:v>
      </x:c>
      <x:c r="C16" s="6" t="n">
        <x:f>C15*'Inputs'!B74</x:f>
        <x:v>16364.375</x:v>
      </x:c>
      <x:c r="D16" s="6" t="n">
        <x:f>D15*'Inputs'!B74</x:f>
        <x:v>27536.25</x:v>
      </x:c>
      <x:c r="E16" s="1"/>
    </x:row>
    <x:row r="17" ht="25" customHeight="1">
      <x:c r="A17" s="1" t="str">
        <x:v>Total modeled cash AUD</x:v>
      </x:c>
      <x:c r="B17" s="6" t="n">
        <x:f>B15+B16</x:f>
        <x:v>60337.5</x:v>
      </x:c>
      <x:c r="C17" s="6" t="n">
        <x:f>C15+C16</x:f>
        <x:v>81821.875</x:v>
      </x:c>
      <x:c r="D17" s="6" t="n">
        <x:f>D15+D16</x:f>
        <x:v>137681.25</x:v>
      </x:c>
      <x:c r="E17" s="1"/>
    </x:row>
    <x:row r="18" ht="25" customHeight="1">
      <x:c r="A18" s="1"/>
      <x:c r="B18" s="6"/>
      <x:c r="C18" s="6"/>
      <x:c r="D18" s="6"/>
      <x:c r="E18" s="1"/>
    </x:row>
    <x:row r="19" ht="25" customHeight="1">
      <x:c r="A19" s="1" t="str">
        <x:v>Founder unpaid productive hours</x:v>
      </x:c>
      <x:c r="B19" s="6" t="n">
        <x:f>'Inputs'!B58*(1-B4)+'Inputs'!B75</x:f>
        <x:v>595</x:v>
      </x:c>
      <x:c r="C19" s="6" t="n">
        <x:f>'Inputs'!B58*(1-C4)+'Inputs'!B75</x:f>
        <x:v>457.5</x:v>
      </x:c>
      <x:c r="D19" s="6" t="n">
        <x:f>'Inputs'!B58*(1-D4)+'Inputs'!B75</x:f>
        <x:v>100</x:v>
      </x:c>
      <x:c r="E19" s="1"/>
    </x:row>
    <x:row r="20" ht="25" customHeight="1">
      <x:c r="A20" s="1" t="str">
        <x:v>Founder calendar equivalent weeks</x:v>
      </x:c>
      <x:c r="B20" s="6" t="n">
        <x:f>B19/'Inputs'!B76</x:f>
        <x:v>39.666666666666664</x:v>
      </x:c>
      <x:c r="C20" s="6" t="n">
        <x:f>C19/'Inputs'!B76</x:f>
        <x:v>30.5</x:v>
      </x:c>
      <x:c r="D20" s="6" t="n">
        <x:f>D19/'Inputs'!B76</x:f>
        <x:v>6.666666666666667</x:v>
      </x:c>
      <x:c r="E20" s="1"/>
    </x:row>
    <x:row r="21" ht="25" customHeight="1">
      <x:c r="A21" s="1"/>
      <x:c r="B21" s="6"/>
      <x:c r="C21" s="6"/>
      <x:c r="D21" s="6"/>
      <x:c r="E21" s="1"/>
    </x:row>
    <x:row r="22" ht="25" customHeight="1">
      <x:c r="A22" s="1"/>
      <x:c r="B22" s="6"/>
      <x:c r="C22" s="6"/>
      <x:c r="D22" s="6"/>
      <x:c r="E22" s="1"/>
    </x:row>
    <x:row r="23" ht="40" customHeight="1">
      <x:c r="A23" s="9" t="str">
        <x:v>Founder hours are unpaid effort, not free delivery. Commissioning still needs owner review.</x:v>
      </x:c>
      <x:c r="B23" s="11"/>
      <x:c r="C23" s="11"/>
      <x:c r="D23" s="11"/>
      <x:c r="E23" s="1"/>
    </x:row>
    <x:row r="24" ht="40" customHeight="1">
      <x:c r="A24" s="9" t="str">
        <x:v>Calendar equivalents show founder capacity only, not critical-path dates or supplier availability.</x:v>
      </x:c>
      <x:c r="B24" s="11"/>
      <x:c r="C24" s="11"/>
      <x:c r="D24" s="11"/>
      <x:c r="E24" s="1"/>
    </x:row>
    <x:row r="25" ht="40" customHeight="1">
      <x:c r="A25" s="9" t="str">
        <x:v>Core hours exclude separately listed specialists. Re-estimate both routes after device/billing feasibility.</x:v>
      </x:c>
      <x:c r="B25" s="11"/>
      <x:c r="C25" s="11"/>
      <x:c r="D25" s="11"/>
      <x:c r="E25" s="1"/>
    </x:row>
    <x:row r="26" ht="40" customHeight="1">
      <x:c r="A26" s="9" t="str">
        <x:v>Quotes, scope changes, tax credits, procurement fees, customer acquisition and operating runway remain separate.</x:v>
      </x:c>
      <x:c r="B26" s="11"/>
      <x:c r="C26" s="11"/>
      <x:c r="D26" s="11"/>
      <x:c r="E26" s="1"/>
    </x:row>
    <x:row r="27" ht="25" customHeight="1">
      <x:c r="A27" s="1"/>
      <x:c r="B27" s="6"/>
      <x:c r="C27" s="6"/>
      <x:c r="D27" s="6"/>
      <x:c r="E27" s="1"/>
    </x:row>
    <x:row r="28" ht="25" customHeight="1">
      <x:c r="A28" s="1"/>
      <x:c r="B28" s="6"/>
      <x:c r="C28" s="6"/>
      <x:c r="D28" s="6"/>
      <x:c r="E28" s="1"/>
    </x:row>
    <x:row r="29" ht="25" customHeight="1">
      <x:c r="A29" s="1"/>
      <x:c r="B29" s="6"/>
      <x:c r="C29" s="6"/>
      <x:c r="D29" s="6"/>
      <x:c r="E29" s="1"/>
    </x:row>
    <x:row r="30" ht="25" customHeight="1">
      <x:c r="A30" s="1"/>
      <x:c r="B30" s="6"/>
      <x:c r="C30" s="6"/>
      <x:c r="D30" s="6"/>
      <x:c r="E30" s="1"/>
    </x:row>
    <x:row r="31" ht="25" customHeight="1">
      <x:c r="A31" s="1"/>
      <x:c r="B31" s="6"/>
      <x:c r="C31" s="6"/>
      <x:c r="D31" s="6"/>
      <x:c r="E31" s="1"/>
    </x:row>
    <x:row r="32" ht="25" customHeight="1">
      <x:c r="A32" s="1"/>
      <x:c r="B32" s="6"/>
      <x:c r="C32" s="6"/>
      <x:c r="D32" s="6"/>
      <x:c r="E32" s="1"/>
    </x:row>
    <x:row r="33" ht="25" customHeight="1">
      <x:c r="A33" s="1"/>
      <x:c r="B33" s="6"/>
      <x:c r="C33" s="6"/>
      <x:c r="D33" s="6"/>
      <x:c r="E33" s="1"/>
    </x:row>
    <x:row r="34" ht="25" customHeight="1">
      <x:c r="A34" s="1"/>
      <x:c r="B34" s="6"/>
      <x:c r="C34" s="6"/>
      <x:c r="D34" s="6"/>
      <x:c r="E34" s="1"/>
    </x:row>
    <x:row r="35" ht="25" customHeight="1">
      <x:c r="A35" s="1"/>
      <x:c r="B35" s="6"/>
      <x:c r="C35" s="6"/>
      <x:c r="D35" s="6"/>
      <x:c r="E35" s="1"/>
    </x:row>
    <x:row r="36" ht="25" customHeight="1">
      <x:c r="A36" s="1"/>
      <x:c r="B36" s="6"/>
      <x:c r="C36" s="6"/>
      <x:c r="D36" s="6"/>
      <x:c r="E36" s="1"/>
    </x:row>
    <x:row r="37" ht="25" customHeight="1">
      <x:c r="A37" s="1"/>
      <x:c r="B37" s="6"/>
      <x:c r="C37" s="6"/>
      <x:c r="D37" s="6"/>
      <x:c r="E37" s="1"/>
    </x:row>
    <x:row r="38" ht="25" customHeight="1">
      <x:c r="A38" s="1"/>
      <x:c r="B38" s="6"/>
      <x:c r="C38" s="6"/>
      <x:c r="D38" s="6"/>
      <x:c r="E38" s="1"/>
    </x:row>
    <x:row r="39" ht="25" customHeight="1">
      <x:c r="A39" s="1"/>
      <x:c r="B39" s="6"/>
      <x:c r="C39" s="6"/>
      <x:c r="D39" s="6"/>
      <x:c r="E39" s="1"/>
    </x:row>
    <x:row r="40" ht="25" customHeight="1">
      <x:c r="A40" s="1"/>
      <x:c r="B40" s="6"/>
      <x:c r="C40" s="6"/>
      <x:c r="D40" s="6"/>
      <x:c r="E40" s="1"/>
    </x:row>
    <x:row r="41" ht="25" customHeight="1">
      <x:c r="A41" s="1"/>
      <x:c r="B41" s="6"/>
      <x:c r="C41" s="6"/>
      <x:c r="D41" s="6"/>
      <x:c r="E41" s="1"/>
    </x:row>
    <x:row r="42" ht="25" customHeight="1">
      <x:c r="A42" s="1"/>
      <x:c r="B42" s="6"/>
      <x:c r="C42" s="6"/>
      <x:c r="D42" s="6"/>
      <x:c r="E42" s="1"/>
    </x:row>
    <x:row r="43" ht="25" customHeight="1">
      <x:c r="A43" s="1"/>
      <x:c r="B43" s="6"/>
      <x:c r="C43" s="6"/>
      <x:c r="D43" s="6"/>
      <x:c r="E43" s="1"/>
    </x:row>
    <x:row r="44" ht="25" customHeight="1">
      <x:c r="A44" s="1"/>
      <x:c r="B44" s="6"/>
      <x:c r="C44" s="6"/>
      <x:c r="D44" s="6"/>
      <x:c r="E44" s="1"/>
    </x:row>
    <x:row r="45" ht="25" customHeight="1">
      <x:c r="A45" s="1"/>
      <x:c r="B45" s="6"/>
      <x:c r="C45" s="6"/>
      <x:c r="D45" s="6"/>
      <x:c r="E45" s="1"/>
    </x:row>
    <x:row r="46" ht="25" customHeight="1">
      <x:c r="A46" s="1"/>
      <x:c r="B46" s="6"/>
      <x:c r="C46" s="6"/>
      <x:c r="D46" s="6"/>
      <x:c r="E46" s="1"/>
    </x:row>
    <x:row r="47" ht="25" customHeight="1">
      <x:c r="A47" s="1"/>
      <x:c r="B47" s="6"/>
      <x:c r="C47" s="6"/>
      <x:c r="D47" s="6"/>
      <x:c r="E47" s="1"/>
    </x:row>
    <x:row r="48" ht="25" customHeight="1">
      <x:c r="A48" s="1"/>
      <x:c r="B48" s="6"/>
      <x:c r="C48" s="6"/>
      <x:c r="D48" s="6"/>
      <x:c r="E48" s="1"/>
    </x:row>
    <x:row r="49" ht="25" customHeight="1">
      <x:c r="A49" s="1"/>
      <x:c r="B49" s="6"/>
      <x:c r="C49" s="6"/>
      <x:c r="D49" s="6"/>
      <x:c r="E49" s="1"/>
    </x:row>
    <x:row r="50" ht="25" customHeight="1">
      <x:c r="A50" s="1"/>
      <x:c r="B50" s="6"/>
      <x:c r="C50" s="6"/>
      <x:c r="D50" s="6"/>
      <x:c r="E50" s="1"/>
    </x:row>
    <x:row r="51" ht="25" customHeight="1">
      <x:c r="A51" s="1"/>
      <x:c r="B51" s="6"/>
      <x:c r="C51" s="6"/>
      <x:c r="D51" s="6"/>
      <x:c r="E51" s="1"/>
    </x:row>
    <x:row r="52" ht="25" customHeight="1">
      <x:c r="A52" s="1"/>
      <x:c r="B52" s="6"/>
      <x:c r="C52" s="6"/>
      <x:c r="D52" s="6"/>
      <x:c r="E52" s="1"/>
    </x:row>
    <x:row r="53" ht="25" customHeight="1">
      <x:c r="A53" s="1"/>
      <x:c r="B53" s="6"/>
      <x:c r="C53" s="6"/>
      <x:c r="D53" s="6"/>
      <x:c r="E53" s="1"/>
    </x:row>
    <x:row r="54" ht="25" customHeight="1">
      <x:c r="A54" s="1"/>
      <x:c r="B54" s="6"/>
      <x:c r="C54" s="6"/>
      <x:c r="D54" s="6"/>
      <x:c r="E54" s="1"/>
    </x:row>
    <x:row r="55" ht="25" customHeight="1">
      <x:c r="A55" s="1"/>
      <x:c r="B55" s="6"/>
      <x:c r="C55" s="6"/>
      <x:c r="D55" s="6"/>
      <x:c r="E55" s="1"/>
    </x:row>
    <x:row r="56" ht="25" customHeight="1">
      <x:c r="A56" s="1"/>
      <x:c r="B56" s="6"/>
      <x:c r="C56" s="6"/>
      <x:c r="D56" s="6"/>
      <x:c r="E56" s="1"/>
    </x:row>
    <x:row r="57" ht="25" customHeight="1">
      <x:c r="A57" s="1"/>
      <x:c r="B57" s="6"/>
      <x:c r="C57" s="6"/>
      <x:c r="D57" s="6"/>
      <x:c r="E57" s="1"/>
    </x:row>
    <x:row r="58" ht="25" customHeight="1">
      <x:c r="A58" s="1"/>
      <x:c r="B58" s="6"/>
      <x:c r="C58" s="6"/>
      <x:c r="D58" s="6"/>
      <x:c r="E58" s="1"/>
    </x:row>
    <x:row r="59" ht="25" customHeight="1">
      <x:c r="A59" s="1"/>
      <x:c r="B59" s="6"/>
      <x:c r="C59" s="6"/>
      <x:c r="D59" s="6"/>
      <x:c r="E59" s="1"/>
    </x:row>
    <x:row r="60" ht="25" customHeight="1">
      <x:c r="A60" s="1"/>
      <x:c r="B60" s="6"/>
      <x:c r="C60" s="6"/>
      <x:c r="D60" s="6"/>
      <x:c r="E60" s="1"/>
    </x:row>
    <x:row r="61" ht="25" customHeight="1">
      <x:c r="A61" s="1"/>
      <x:c r="B61" s="6"/>
      <x:c r="C61" s="6"/>
      <x:c r="D61" s="6"/>
      <x:c r="E61" s="1"/>
    </x:row>
    <x:row r="62" ht="25" customHeight="1">
      <x:c r="A62" s="1"/>
      <x:c r="B62" s="6"/>
      <x:c r="C62" s="6"/>
      <x:c r="D62" s="6"/>
      <x:c r="E62" s="1"/>
    </x:row>
    <x:row r="63" ht="25" customHeight="1">
      <x:c r="A63" s="1"/>
      <x:c r="B63" s="6"/>
      <x:c r="C63" s="6"/>
      <x:c r="D63" s="6"/>
      <x:c r="E63" s="1"/>
    </x:row>
    <x:row r="64" ht="25" customHeight="1">
      <x:c r="A64" s="1"/>
      <x:c r="B64" s="6"/>
      <x:c r="C64" s="6"/>
      <x:c r="D64" s="6"/>
      <x:c r="E64" s="1"/>
    </x:row>
    <x:row r="65" ht="25" customHeight="1">
      <x:c r="A65" s="1"/>
      <x:c r="B65" s="6"/>
      <x:c r="C65" s="6"/>
      <x:c r="D65" s="6"/>
      <x:c r="E65" s="1"/>
    </x:row>
    <x:row r="66" ht="25" customHeight="1">
      <x:c r="A66" s="1"/>
      <x:c r="B66" s="6"/>
      <x:c r="C66" s="6"/>
      <x:c r="D66" s="6"/>
      <x:c r="E66" s="1"/>
    </x:row>
    <x:row r="67" ht="25" customHeight="1">
      <x:c r="A67" s="1"/>
      <x:c r="B67" s="6"/>
      <x:c r="C67" s="6"/>
      <x:c r="D67" s="6"/>
      <x:c r="E67" s="1"/>
    </x:row>
    <x:row r="68" ht="25" customHeight="1">
      <x:c r="A68" s="1"/>
      <x:c r="B68" s="6"/>
      <x:c r="C68" s="6"/>
      <x:c r="D68" s="6"/>
      <x:c r="E68" s="1"/>
    </x:row>
    <x:row r="69" ht="25" customHeight="1">
      <x:c r="A69" s="1"/>
      <x:c r="B69" s="6"/>
      <x:c r="C69" s="6"/>
      <x:c r="D69" s="6"/>
      <x:c r="E69" s="1"/>
    </x:row>
    <x:row r="70" ht="25" customHeight="1">
      <x:c r="A70" s="1"/>
      <x:c r="B70" s="6"/>
      <x:c r="C70" s="6"/>
      <x:c r="D70" s="6"/>
      <x:c r="E70" s="1"/>
    </x:row>
    <x:row r="71" ht="25" customHeight="1">
      <x:c r="A71" s="1"/>
      <x:c r="B71" s="6"/>
      <x:c r="C71" s="6"/>
      <x:c r="D71" s="6"/>
      <x:c r="E71" s="1"/>
    </x:row>
    <x:row r="72" ht="25" customHeight="1">
      <x:c r="A72" s="1"/>
      <x:c r="B72" s="6"/>
      <x:c r="C72" s="6"/>
      <x:c r="D72" s="6"/>
      <x:c r="E72" s="1"/>
    </x:row>
    <x:row r="73" ht="25" customHeight="1">
      <x:c r="A73" s="1"/>
      <x:c r="B73" s="6"/>
      <x:c r="C73" s="6"/>
      <x:c r="D73" s="6"/>
      <x:c r="E73" s="1"/>
    </x:row>
    <x:row r="74" ht="25" customHeight="1">
      <x:c r="A74" s="1"/>
      <x:c r="B74" s="6"/>
      <x:c r="C74" s="6"/>
      <x:c r="D74" s="6"/>
      <x:c r="E74" s="1"/>
    </x:row>
    <x:row r="75" ht="25" customHeight="1">
      <x:c r="A75" s="1"/>
      <x:c r="B75" s="6"/>
      <x:c r="C75" s="6"/>
      <x:c r="D75" s="6"/>
      <x:c r="E75" s="1"/>
    </x:row>
    <x:row r="76" ht="25" customHeight="1">
      <x:c r="A76" s="1"/>
      <x:c r="B76" s="6"/>
      <x:c r="C76" s="6"/>
      <x:c r="D76" s="6"/>
      <x:c r="E76" s="1"/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23:D23"/>
    <x:mergeCell ref="A24:D24"/>
    <x:mergeCell ref="A25:D25"/>
    <x:mergeCell ref="A26:D26"/>
    <x:mergeCell ref="A1:D1"/>
  </x:mergeCells>
  <x:conditionalFormatting sqref="B4:D60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9" hidden="0" customWidth="1"/>
    <x:col min="3" max="3" width="19" hidden="0" customWidth="1"/>
    <x:col min="4" max="4" width="19" hidden="0" customWidth="1"/>
    <x:col min="5" max="5" width="52" hidden="0" customWidth="1"/>
  </x:cols>
  <x:sheetData>
    <x:row r="1" ht="32" customHeight="1">
      <x:c r="A1" s="3" t="str">
        <x:v>MODEL CHECKS • PASS is arithmetic, not product validation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Check</x:v>
      </x:c>
      <x:c r="B3" s="5" t="str">
        <x:v>Actual</x:v>
      </x:c>
      <x:c r="C3" s="5" t="str">
        <x:v>Expected</x:v>
      </x:c>
      <x:c r="D3" s="5" t="str">
        <x:v>Status</x:v>
      </x:c>
      <x:c r="E3" s="5"/>
    </x:row>
    <x:row r="4" ht="25" customHeight="1">
      <x:c r="A4" s="1" t="str">
        <x:v>B: revenue tie-out</x:v>
      </x:c>
      <x:c r="B4" s="6" t="n">
        <x:f>'Scenarios'!B28-SUM('Scenarios'!B25:B27)</x:f>
        <x:v>0</x:v>
      </x:c>
      <x:c r="C4" s="6" t="n">
        <x:f>0</x:f>
        <x:v>0</x:v>
      </x:c>
      <x:c r="D4" s="6" t="str">
        <x:f>IF(ABS(B4-C4)&lt;0.000001,"PASS","FAIL")</x:f>
        <x:v>PASS</x:v>
      </x:c>
      <x:c r="E4" s="1"/>
    </x:row>
    <x:row r="5" ht="25" customHeight="1">
      <x:c r="A5" s="1" t="str">
        <x:v>B: contribution tie-out</x:v>
      </x:c>
      <x:c r="B5" s="6" t="n">
        <x:f>'Scenarios'!B55-('Scenarios'!B28-'Scenarios'!B38-'Scenarios'!B50-'Scenarios'!B51-'Scenarios'!B53-'Scenarios'!B54)</x:f>
        <x:v>0</x:v>
      </x:c>
      <x:c r="C5" s="6" t="n">
        <x:f>0</x:f>
        <x:v>0</x:v>
      </x:c>
      <x:c r="D5" s="6" t="str">
        <x:f>IF(ABS(B5-C5)&lt;0.000001,"PASS","FAIL")</x:f>
        <x:v>PASS</x:v>
      </x:c>
      <x:c r="E5" s="1"/>
    </x:row>
    <x:row r="6" ht="25" customHeight="1">
      <x:c r="A6" s="1" t="str">
        <x:v>B: quota headroom nonnegative</x:v>
      </x:c>
      <x:c r="B6" s="6" t="n">
        <x:f>IF('Scenarios'!B42&gt;='Scenarios'!B41,1,0)</x:f>
        <x:v>1</x:v>
      </x:c>
      <x:c r="C6" s="6" t="n">
        <x:f>1</x:f>
        <x:v>1</x:v>
      </x:c>
      <x:c r="D6" s="6" t="str">
        <x:f>IF(ABS(B6-C6)&lt;0.000001,"PASS","FAIL")</x:f>
        <x:v>PASS</x:v>
      </x:c>
      <x:c r="E6" s="1"/>
    </x:row>
    <x:row r="7" ht="25" customHeight="1">
      <x:c r="A7" s="1" t="str">
        <x:v>B: trial included in free</x:v>
      </x:c>
      <x:c r="B7" s="6" t="n">
        <x:f>IF('Scenarios'!B9&lt;='Scenarios'!B8,1,0)</x:f>
        <x:v>1</x:v>
      </x:c>
      <x:c r="C7" s="6" t="n">
        <x:f>1</x:f>
        <x:v>1</x:v>
      </x:c>
      <x:c r="D7" s="6" t="str">
        <x:f>IF(ABS(B7-C7)&lt;0.000001,"PASS","FAIL")</x:f>
        <x:v>PASS</x:v>
      </x:c>
      <x:c r="E7" s="1"/>
    </x:row>
    <x:row r="8" ht="25" customHeight="1">
      <x:c r="A8" s="1" t="str">
        <x:v>B: club minimum seats</x:v>
      </x:c>
      <x:c r="B8" s="6" t="n">
        <x:f>IF('Scenarios'!B6&gt;='Inputs'!B15,1,0)</x:f>
        <x:v>1</x:v>
      </x:c>
      <x:c r="C8" s="6" t="n">
        <x:f>1</x:f>
        <x:v>1</x:v>
      </x:c>
      <x:c r="D8" s="6" t="str">
        <x:f>IF(ABS(B8-C8)&lt;0.000001,"PASS","FAIL")</x:f>
        <x:v>PASS</x:v>
      </x:c>
      <x:c r="E8" s="1"/>
    </x:row>
    <x:row r="9" ht="25" customHeight="1">
      <x:c r="A9" s="1" t="str">
        <x:v>C: revenue tie-out</x:v>
      </x:c>
      <x:c r="B9" s="6" t="n">
        <x:f>'Scenarios'!C28-SUM('Scenarios'!C25:C27)</x:f>
        <x:v>0</x:v>
      </x:c>
      <x:c r="C9" s="6" t="n">
        <x:f>0</x:f>
        <x:v>0</x:v>
      </x:c>
      <x:c r="D9" s="6" t="str">
        <x:f>IF(ABS(B9-C9)&lt;0.000001,"PASS","FAIL")</x:f>
        <x:v>PASS</x:v>
      </x:c>
      <x:c r="E9" s="1"/>
    </x:row>
    <x:row r="10" ht="25" customHeight="1">
      <x:c r="A10" s="1" t="str">
        <x:v>C: contribution tie-out</x:v>
      </x:c>
      <x:c r="B10" s="6" t="n">
        <x:f>'Scenarios'!C55-('Scenarios'!C28-'Scenarios'!C38-'Scenarios'!C50-'Scenarios'!C51-'Scenarios'!C53-'Scenarios'!C54)</x:f>
        <x:v>0</x:v>
      </x:c>
      <x:c r="C10" s="6" t="n">
        <x:f>0</x:f>
        <x:v>0</x:v>
      </x:c>
      <x:c r="D10" s="6" t="str">
        <x:f>IF(ABS(B10-C10)&lt;0.000001,"PASS","FAIL")</x:f>
        <x:v>PASS</x:v>
      </x:c>
      <x:c r="E10" s="1"/>
    </x:row>
    <x:row r="11" ht="25" customHeight="1">
      <x:c r="A11" s="1" t="str">
        <x:v>C: quota headroom nonnegative</x:v>
      </x:c>
      <x:c r="B11" s="6" t="n">
        <x:f>IF('Scenarios'!C42&gt;='Scenarios'!C41,1,0)</x:f>
        <x:v>1</x:v>
      </x:c>
      <x:c r="C11" s="6" t="n">
        <x:f>1</x:f>
        <x:v>1</x:v>
      </x:c>
      <x:c r="D11" s="6" t="str">
        <x:f>IF(ABS(B11-C11)&lt;0.000001,"PASS","FAIL")</x:f>
        <x:v>PASS</x:v>
      </x:c>
      <x:c r="E11" s="1"/>
    </x:row>
    <x:row r="12" ht="25" customHeight="1">
      <x:c r="A12" s="1" t="str">
        <x:v>C: trial included in free</x:v>
      </x:c>
      <x:c r="B12" s="6" t="n">
        <x:f>IF('Scenarios'!C9&lt;='Scenarios'!C8,1,0)</x:f>
        <x:v>1</x:v>
      </x:c>
      <x:c r="C12" s="6" t="n">
        <x:f>1</x:f>
        <x:v>1</x:v>
      </x:c>
      <x:c r="D12" s="6" t="str">
        <x:f>IF(ABS(B12-C12)&lt;0.000001,"PASS","FAIL")</x:f>
        <x:v>PASS</x:v>
      </x:c>
      <x:c r="E12" s="1"/>
    </x:row>
    <x:row r="13" ht="25" customHeight="1">
      <x:c r="A13" s="1" t="str">
        <x:v>C: club minimum seats</x:v>
      </x:c>
      <x:c r="B13" s="6" t="n">
        <x:f>IF('Scenarios'!C6&gt;='Inputs'!B15,1,0)</x:f>
        <x:v>1</x:v>
      </x:c>
      <x:c r="C13" s="6" t="n">
        <x:f>1</x:f>
        <x:v>1</x:v>
      </x:c>
      <x:c r="D13" s="6" t="str">
        <x:f>IF(ABS(B13-C13)&lt;0.000001,"PASS","FAIL")</x:f>
        <x:v>PASS</x:v>
      </x:c>
      <x:c r="E13" s="1"/>
    </x:row>
    <x:row r="14" ht="25" customHeight="1">
      <x:c r="A14" s="1" t="str">
        <x:v>D: revenue tie-out</x:v>
      </x:c>
      <x:c r="B14" s="6" t="n">
        <x:f>'Scenarios'!D28-SUM('Scenarios'!D25:D27)</x:f>
        <x:v>0</x:v>
      </x:c>
      <x:c r="C14" s="6" t="n">
        <x:f>0</x:f>
        <x:v>0</x:v>
      </x:c>
      <x:c r="D14" s="6" t="str">
        <x:f>IF(ABS(B14-C14)&lt;0.000001,"PASS","FAIL")</x:f>
        <x:v>PASS</x:v>
      </x:c>
      <x:c r="E14" s="1"/>
    </x:row>
    <x:row r="15" ht="25" customHeight="1">
      <x:c r="A15" s="1" t="str">
        <x:v>D: contribution tie-out</x:v>
      </x:c>
      <x:c r="B15" s="6" t="n">
        <x:f>'Scenarios'!D55-('Scenarios'!D28-'Scenarios'!D38-'Scenarios'!D50-'Scenarios'!D51-'Scenarios'!D53-'Scenarios'!D54)</x:f>
        <x:v>0</x:v>
      </x:c>
      <x:c r="C15" s="6" t="n">
        <x:f>0</x:f>
        <x:v>0</x:v>
      </x:c>
      <x:c r="D15" s="6" t="str">
        <x:f>IF(ABS(B15-C15)&lt;0.000001,"PASS","FAIL")</x:f>
        <x:v>PASS</x:v>
      </x:c>
      <x:c r="E15" s="1"/>
    </x:row>
    <x:row r="16" ht="25" customHeight="1">
      <x:c r="A16" s="1" t="str">
        <x:v>D: quota headroom nonnegative</x:v>
      </x:c>
      <x:c r="B16" s="6" t="n">
        <x:f>IF('Scenarios'!D42&gt;='Scenarios'!D41,1,0)</x:f>
        <x:v>1</x:v>
      </x:c>
      <x:c r="C16" s="6" t="n">
        <x:f>1</x:f>
        <x:v>1</x:v>
      </x:c>
      <x:c r="D16" s="6" t="str">
        <x:f>IF(ABS(B16-C16)&lt;0.000001,"PASS","FAIL")</x:f>
        <x:v>PASS</x:v>
      </x:c>
      <x:c r="E16" s="1"/>
    </x:row>
    <x:row r="17" ht="25" customHeight="1">
      <x:c r="A17" s="1" t="str">
        <x:v>D: trial included in free</x:v>
      </x:c>
      <x:c r="B17" s="6" t="n">
        <x:f>IF('Scenarios'!D9&lt;='Scenarios'!D8,1,0)</x:f>
        <x:v>1</x:v>
      </x:c>
      <x:c r="C17" s="6" t="n">
        <x:f>1</x:f>
        <x:v>1</x:v>
      </x:c>
      <x:c r="D17" s="6" t="str">
        <x:f>IF(ABS(B17-C17)&lt;0.000001,"PASS","FAIL")</x:f>
        <x:v>PASS</x:v>
      </x:c>
      <x:c r="E17" s="1"/>
    </x:row>
    <x:row r="18" ht="25" customHeight="1">
      <x:c r="A18" s="1" t="str">
        <x:v>D: club minimum seats</x:v>
      </x:c>
      <x:c r="B18" s="6" t="n">
        <x:f>IF('Scenarios'!D6&gt;='Inputs'!B15,1,0)</x:f>
        <x:v>1</x:v>
      </x:c>
      <x:c r="C18" s="6" t="n">
        <x:f>1</x:f>
        <x:v>1</x:v>
      </x:c>
      <x:c r="D18" s="6" t="str">
        <x:f>IF(ABS(B18-C18)&lt;0.000001,"PASS","FAIL")</x:f>
        <x:v>PASS</x:v>
      </x:c>
      <x:c r="E18" s="1"/>
    </x:row>
    <x:row r="19" ht="25" customHeight="1">
      <x:c r="A19" s="1" t="str">
        <x:v>Positive FX</x:v>
      </x:c>
      <x:c r="B19" s="6" t="n">
        <x:f>IF('Inputs'!B4&gt;0,1,0)</x:f>
        <x:v>1</x:v>
      </x:c>
      <x:c r="C19" s="6" t="n">
        <x:f>1</x:f>
        <x:v>1</x:v>
      </x:c>
      <x:c r="D19" s="6" t="str">
        <x:f>IF(ABS(B19-C19)&lt;0.000001,"PASS","FAIL")</x:f>
        <x:v>PASS</x:v>
      </x:c>
      <x:c r="E19" s="1"/>
    </x:row>
    <x:row r="20" ht="25" customHeight="1">
      <x:c r="A20" s="1" t="str">
        <x:v>Family monthly share: valid fraction</x:v>
      </x:c>
      <x:c r="B20" s="6" t="n">
        <x:f>IF(AND('Inputs'!B8&gt;=0,'Inputs'!B8&lt;=1),1,0)</x:f>
        <x:v>1</x:v>
      </x:c>
      <x:c r="C20" s="6" t="n">
        <x:f>1</x:f>
        <x:v>1</x:v>
      </x:c>
      <x:c r="D20" s="6" t="str">
        <x:f>IF(ABS(B20-C20)&lt;0.000001,"PASS","FAIL")</x:f>
        <x:v>PASS</x:v>
      </x:c>
      <x:c r="E20" s="1"/>
    </x:row>
    <x:row r="21" ht="25" customHeight="1">
      <x:c r="A21" s="1" t="str">
        <x:v>Family store share: valid fraction</x:v>
      </x:c>
      <x:c r="B21" s="6" t="n">
        <x:f>IF(AND('Inputs'!B9&gt;=0,'Inputs'!B9&lt;=1),1,0)</x:f>
        <x:v>1</x:v>
      </x:c>
      <x:c r="C21" s="6" t="n">
        <x:f>1</x:f>
        <x:v>1</x:v>
      </x:c>
      <x:c r="D21" s="6" t="str">
        <x:f>IF(ABS(B21-C21)&lt;0.000001,"PASS","FAIL")</x:f>
        <x:v>PASS</x:v>
      </x:c>
      <x:c r="E21" s="1"/>
    </x:row>
    <x:row r="22" ht="25" customHeight="1">
      <x:c r="A22" s="1" t="str">
        <x:v>Club monthly share: valid fraction</x:v>
      </x:c>
      <x:c r="B22" s="6" t="n">
        <x:f>IF(AND('Inputs'!B14&gt;=0,'Inputs'!B14&lt;=1),1,0)</x:f>
        <x:v>1</x:v>
      </x:c>
      <x:c r="C22" s="6" t="n">
        <x:f>1</x:f>
        <x:v>1</x:v>
      </x:c>
      <x:c r="D22" s="6" t="str">
        <x:f>IF(ABS(B22-C22)&lt;0.000001,"PASS","FAIL")</x:f>
        <x:v>PASS</x:v>
      </x:c>
      <x:c r="E22" s="1"/>
    </x:row>
    <x:row r="23" ht="25" customHeight="1">
      <x:c r="A23" s="1" t="str">
        <x:v>Club active share: valid fraction</x:v>
      </x:c>
      <x:c r="B23" s="6" t="n">
        <x:f>IF(AND('Inputs'!B16&gt;=0,'Inputs'!B16&lt;=1),1,0)</x:f>
        <x:v>1</x:v>
      </x:c>
      <x:c r="C23" s="6" t="n">
        <x:f>1</x:f>
        <x:v>1</x:v>
      </x:c>
      <x:c r="D23" s="6" t="str">
        <x:f>IF(ABS(B23-C23)&lt;0.000001,"PASS","FAIL")</x:f>
        <x:v>PASS</x:v>
      </x:c>
      <x:c r="E23" s="1"/>
    </x:row>
    <x:row r="24" ht="25" customHeight="1">
      <x:c r="A24" s="1" t="str">
        <x:v>Coach monthly share: valid fraction</x:v>
      </x:c>
      <x:c r="B24" s="6" t="n">
        <x:f>IF(AND('Inputs'!B20&gt;=0,'Inputs'!B20&lt;=1),1,0)</x:f>
        <x:v>1</x:v>
      </x:c>
      <x:c r="C24" s="6" t="n">
        <x:f>1</x:f>
        <x:v>1</x:v>
      </x:c>
      <x:c r="D24" s="6" t="str">
        <x:f>IF(ABS(B24-C24)&lt;0.000001,"PASS","FAIL")</x:f>
        <x:v>PASS</x:v>
      </x:c>
      <x:c r="E24" s="1"/>
    </x:row>
    <x:row r="25" ht="25" customHeight="1">
      <x:c r="A25" s="1" t="str">
        <x:v>Cloud participation: valid fraction</x:v>
      </x:c>
      <x:c r="B25" s="6" t="n">
        <x:f>IF(AND('Inputs'!B29&gt;=0,'Inputs'!B29&lt;=1),1,0)</x:f>
        <x:v>1</x:v>
      </x:c>
      <x:c r="C25" s="6" t="n">
        <x:f>1</x:f>
        <x:v>1</x:v>
      </x:c>
      <x:c r="D25" s="6" t="str">
        <x:f>IF(ABS(B25-C25)&lt;0.000001,"PASS","FAIL")</x:f>
        <x:v>PASS</x:v>
      </x:c>
      <x:c r="E25" s="1"/>
    </x:row>
    <x:row r="26" ht="25" customHeight="1">
      <x:c r="A26" s="1" t="str">
        <x:v>Family club overlap: valid fraction</x:v>
      </x:c>
      <x:c r="B26" s="6" t="n">
        <x:f>IF(AND('Inputs'!B41&gt;=0,'Inputs'!B41&lt;=1),1,0)</x:f>
        <x:v>1</x:v>
      </x:c>
      <x:c r="C26" s="6" t="n">
        <x:f>1</x:f>
        <x:v>1</x:v>
      </x:c>
      <x:c r="D26" s="6" t="str">
        <x:f>IF(ABS(B26-C26)&lt;0.000001,"PASS","FAIL")</x:f>
        <x:v>PASS</x:v>
      </x:c>
      <x:c r="E26" s="1"/>
    </x:row>
    <x:row r="27" ht="25" customHeight="1">
      <x:c r="A27" s="1" t="str">
        <x:v>RC threshold boundary free</x:v>
      </x:c>
      <x:c r="B27" s="6" t="n">
        <x:f>IF('Inputs'!B25&gt;'Inputs'!B25,'Inputs'!B25*'Inputs'!B26,0)</x:f>
        <x:v>0</x:v>
      </x:c>
      <x:c r="C27" s="6" t="n">
        <x:f>0</x:f>
        <x:v>0</x:v>
      </x:c>
      <x:c r="D27" s="6" t="str">
        <x:f>IF(ABS(B27-C27)&lt;0.000001,"PASS","FAIL")</x:f>
        <x:v>PASS</x:v>
      </x:c>
      <x:c r="E27" s="1"/>
    </x:row>
    <x:row r="28" ht="25" customHeight="1">
      <x:c r="A28" s="1" t="str">
        <x:v>RC above threshold applies whole</x:v>
      </x:c>
      <x:c r="B28" s="6" t="n">
        <x:f>IF(2600&gt;2500,2600*0.01,0)</x:f>
        <x:v>26</x:v>
      </x:c>
      <x:c r="C28" s="6" t="n">
        <x:f>26</x:f>
        <x:v>26</x:v>
      </x:c>
      <x:c r="D28" s="6" t="str">
        <x:f>IF(ABS(B28-C28)&lt;0.000001,"PASS","FAIL")</x:f>
        <x:v>PASS</x:v>
      </x:c>
      <x:c r="E28" s="1"/>
    </x:row>
    <x:row r="29" ht="25" customHeight="1">
      <x:c r="A29" s="1" t="str">
        <x:v>Annual fixed charge monthly allocation</x:v>
      </x:c>
      <x:c r="B29" s="18" t="n">
        <x:f>.30/12</x:f>
        <x:v>0.024999999999999998</x:v>
      </x:c>
      <x:c r="C29" s="18" t="n">
        <x:f>0.025</x:f>
        <x:v>0.025</x:v>
      </x:c>
      <x:c r="D29" s="6" t="str">
        <x:f>IF(ABS(B29-C29)&lt;0.000001,"PASS","FAIL")</x:f>
        <x:v>PASS</x:v>
      </x:c>
      <x:c r="E29" s="1"/>
    </x:row>
    <x:row r="30" ht="25" customHeight="1">
      <x:c r="A30" s="1"/>
      <x:c r="B30" s="6"/>
      <x:c r="C30" s="6"/>
      <x:c r="D30" s="6"/>
      <x:c r="E30" s="1"/>
    </x:row>
    <x:row r="31" ht="25" customHeight="1">
      <x:c r="A31" s="1"/>
      <x:c r="B31" s="6"/>
      <x:c r="C31" s="6"/>
      <x:c r="D31" s="6"/>
      <x:c r="E31" s="1"/>
    </x:row>
    <x:row r="32" ht="25" customHeight="1">
      <x:c r="A32" s="1"/>
      <x:c r="B32" s="6"/>
      <x:c r="C32" s="6"/>
      <x:c r="D32" s="6"/>
      <x:c r="E32" s="1"/>
    </x:row>
    <x:row r="33" ht="25" customHeight="1">
      <x:c r="A33" s="1"/>
      <x:c r="B33" s="6"/>
      <x:c r="C33" s="6"/>
      <x:c r="D33" s="6"/>
      <x:c r="E33" s="1"/>
    </x:row>
    <x:row r="34" ht="25" customHeight="1">
      <x:c r="A34" s="1"/>
      <x:c r="B34" s="6"/>
      <x:c r="C34" s="6"/>
      <x:c r="D34" s="6"/>
      <x:c r="E34" s="1"/>
    </x:row>
    <x:row r="35" ht="25" customHeight="1">
      <x:c r="A35" s="1"/>
      <x:c r="B35" s="6"/>
      <x:c r="C35" s="6"/>
      <x:c r="D35" s="6"/>
      <x:c r="E35" s="1"/>
    </x:row>
    <x:row r="36" ht="25" customHeight="1">
      <x:c r="A36" s="1"/>
      <x:c r="B36" s="6"/>
      <x:c r="C36" s="6"/>
      <x:c r="D36" s="6"/>
      <x:c r="E36" s="1"/>
    </x:row>
    <x:row r="37" ht="25" customHeight="1">
      <x:c r="A37" s="1"/>
      <x:c r="B37" s="6"/>
      <x:c r="C37" s="6"/>
      <x:c r="D37" s="6"/>
      <x:c r="E37" s="1"/>
    </x:row>
    <x:row r="38" ht="25" customHeight="1">
      <x:c r="A38" s="1"/>
      <x:c r="B38" s="6"/>
      <x:c r="C38" s="6"/>
      <x:c r="D38" s="6"/>
      <x:c r="E38" s="1"/>
    </x:row>
    <x:row r="39" ht="25" customHeight="1">
      <x:c r="A39" s="1"/>
      <x:c r="B39" s="6"/>
      <x:c r="C39" s="6"/>
      <x:c r="D39" s="6"/>
      <x:c r="E39" s="1"/>
    </x:row>
    <x:row r="40" ht="25" customHeight="1">
      <x:c r="A40" s="1"/>
      <x:c r="B40" s="6"/>
      <x:c r="C40" s="6"/>
      <x:c r="D40" s="6"/>
      <x:c r="E40" s="1"/>
    </x:row>
    <x:row r="41" ht="25" customHeight="1">
      <x:c r="A41" s="1"/>
      <x:c r="B41" s="6"/>
      <x:c r="C41" s="6"/>
      <x:c r="D41" s="6"/>
      <x:c r="E41" s="1"/>
    </x:row>
    <x:row r="42" ht="25" customHeight="1">
      <x:c r="A42" s="1"/>
      <x:c r="B42" s="6"/>
      <x:c r="C42" s="6"/>
      <x:c r="D42" s="6"/>
      <x:c r="E42" s="1"/>
    </x:row>
    <x:row r="43" ht="25" customHeight="1">
      <x:c r="A43" s="1"/>
      <x:c r="B43" s="6"/>
      <x:c r="C43" s="6"/>
      <x:c r="D43" s="6"/>
      <x:c r="E43" s="1"/>
    </x:row>
    <x:row r="44" ht="25" customHeight="1">
      <x:c r="A44" s="1"/>
      <x:c r="B44" s="6"/>
      <x:c r="C44" s="6"/>
      <x:c r="D44" s="6"/>
      <x:c r="E44" s="1"/>
    </x:row>
    <x:row r="45" ht="25" customHeight="1">
      <x:c r="A45" s="1"/>
      <x:c r="B45" s="6"/>
      <x:c r="C45" s="6"/>
      <x:c r="D45" s="6"/>
      <x:c r="E45" s="1"/>
    </x:row>
    <x:row r="46" ht="25" customHeight="1">
      <x:c r="A46" s="1"/>
      <x:c r="B46" s="6"/>
      <x:c r="C46" s="6"/>
      <x:c r="D46" s="6"/>
      <x:c r="E46" s="1"/>
    </x:row>
    <x:row r="47" ht="25" customHeight="1">
      <x:c r="A47" s="1"/>
      <x:c r="B47" s="6"/>
      <x:c r="C47" s="6"/>
      <x:c r="D47" s="6"/>
      <x:c r="E47" s="1"/>
    </x:row>
    <x:row r="48" ht="25" customHeight="1">
      <x:c r="A48" s="1"/>
      <x:c r="B48" s="6"/>
      <x:c r="C48" s="6"/>
      <x:c r="D48" s="6"/>
      <x:c r="E48" s="1"/>
    </x:row>
    <x:row r="49" ht="25" customHeight="1">
      <x:c r="A49" s="1"/>
      <x:c r="B49" s="6"/>
      <x:c r="C49" s="6"/>
      <x:c r="D49" s="6"/>
      <x:c r="E49" s="1"/>
    </x:row>
    <x:row r="50" ht="25" customHeight="1">
      <x:c r="A50" s="1"/>
      <x:c r="B50" s="6"/>
      <x:c r="C50" s="6"/>
      <x:c r="D50" s="6"/>
      <x:c r="E50" s="1"/>
    </x:row>
    <x:row r="51" ht="25" customHeight="1">
      <x:c r="A51" s="1"/>
      <x:c r="B51" s="6"/>
      <x:c r="C51" s="6"/>
      <x:c r="D51" s="6"/>
      <x:c r="E51" s="1"/>
    </x:row>
    <x:row r="52" ht="25" customHeight="1">
      <x:c r="A52" s="1"/>
      <x:c r="B52" s="6"/>
      <x:c r="C52" s="6"/>
      <x:c r="D52" s="6"/>
      <x:c r="E52" s="1"/>
    </x:row>
    <x:row r="53" ht="25" customHeight="1">
      <x:c r="A53" s="1"/>
      <x:c r="B53" s="6"/>
      <x:c r="C53" s="6"/>
      <x:c r="D53" s="6"/>
      <x:c r="E53" s="1"/>
    </x:row>
    <x:row r="54" ht="25" customHeight="1">
      <x:c r="A54" s="1"/>
      <x:c r="B54" s="6"/>
      <x:c r="C54" s="6"/>
      <x:c r="D54" s="6"/>
      <x:c r="E54" s="1"/>
    </x:row>
    <x:row r="55" ht="25" customHeight="1">
      <x:c r="A55" s="1"/>
      <x:c r="B55" s="6"/>
      <x:c r="C55" s="6"/>
      <x:c r="D55" s="6"/>
      <x:c r="E55" s="1"/>
    </x:row>
    <x:row r="56" ht="25" customHeight="1">
      <x:c r="A56" s="1"/>
      <x:c r="B56" s="6"/>
      <x:c r="C56" s="6"/>
      <x:c r="D56" s="6"/>
      <x:c r="E56" s="1"/>
    </x:row>
    <x:row r="57" ht="25" customHeight="1">
      <x:c r="A57" s="1"/>
      <x:c r="B57" s="6"/>
      <x:c r="C57" s="6"/>
      <x:c r="D57" s="6"/>
      <x:c r="E57" s="1"/>
    </x:row>
    <x:row r="58" ht="25" customHeight="1">
      <x:c r="A58" s="1"/>
      <x:c r="B58" s="6"/>
      <x:c r="C58" s="6"/>
      <x:c r="D58" s="6"/>
      <x:c r="E58" s="1"/>
    </x:row>
    <x:row r="59" ht="25" customHeight="1">
      <x:c r="A59" s="1"/>
      <x:c r="B59" s="6"/>
      <x:c r="C59" s="6"/>
      <x:c r="D59" s="6"/>
      <x:c r="E59" s="1"/>
    </x:row>
    <x:row r="60" ht="25" customHeight="1">
      <x:c r="A60" s="1"/>
      <x:c r="B60" s="6"/>
      <x:c r="C60" s="6"/>
      <x:c r="D60" s="6"/>
      <x:c r="E60" s="1"/>
    </x:row>
    <x:row r="61" ht="25" customHeight="1">
      <x:c r="A61" s="1"/>
      <x:c r="B61" s="6"/>
      <x:c r="C61" s="6"/>
      <x:c r="D61" s="6"/>
      <x:c r="E61" s="1"/>
    </x:row>
    <x:row r="62" ht="25" customHeight="1">
      <x:c r="A62" s="1"/>
      <x:c r="B62" s="6"/>
      <x:c r="C62" s="6"/>
      <x:c r="D62" s="6"/>
      <x:c r="E62" s="1"/>
    </x:row>
    <x:row r="63" ht="25" customHeight="1">
      <x:c r="A63" s="1"/>
      <x:c r="B63" s="6"/>
      <x:c r="C63" s="6"/>
      <x:c r="D63" s="6"/>
      <x:c r="E63" s="1"/>
    </x:row>
    <x:row r="64" ht="25" customHeight="1">
      <x:c r="A64" s="1"/>
      <x:c r="B64" s="6"/>
      <x:c r="C64" s="6"/>
      <x:c r="D64" s="6"/>
      <x:c r="E64" s="1"/>
    </x:row>
    <x:row r="65" ht="25" customHeight="1">
      <x:c r="A65" s="1"/>
      <x:c r="B65" s="6"/>
      <x:c r="C65" s="6"/>
      <x:c r="D65" s="6"/>
      <x:c r="E65" s="1"/>
    </x:row>
    <x:row r="66" ht="25" customHeight="1">
      <x:c r="A66" s="1"/>
      <x:c r="B66" s="6"/>
      <x:c r="C66" s="6"/>
      <x:c r="D66" s="6"/>
      <x:c r="E66" s="1"/>
    </x:row>
    <x:row r="67" ht="25" customHeight="1">
      <x:c r="A67" s="1"/>
      <x:c r="B67" s="6"/>
      <x:c r="C67" s="6"/>
      <x:c r="D67" s="6"/>
      <x:c r="E67" s="1"/>
    </x:row>
    <x:row r="68" ht="25" customHeight="1">
      <x:c r="A68" s="1"/>
      <x:c r="B68" s="6"/>
      <x:c r="C68" s="6"/>
      <x:c r="D68" s="6"/>
      <x:c r="E68" s="1"/>
    </x:row>
    <x:row r="69" ht="25" customHeight="1">
      <x:c r="A69" s="1"/>
      <x:c r="B69" s="6"/>
      <x:c r="C69" s="6"/>
      <x:c r="D69" s="6"/>
      <x:c r="E69" s="1"/>
    </x:row>
    <x:row r="70" ht="25" customHeight="1">
      <x:c r="A70" s="1"/>
      <x:c r="B70" s="6"/>
      <x:c r="C70" s="6"/>
      <x:c r="D70" s="6"/>
      <x:c r="E70" s="1"/>
    </x:row>
    <x:row r="71" ht="25" customHeight="1">
      <x:c r="A71" s="1"/>
      <x:c r="B71" s="6"/>
      <x:c r="C71" s="6"/>
      <x:c r="D71" s="6"/>
      <x:c r="E71" s="1"/>
    </x:row>
    <x:row r="72" ht="25" customHeight="1">
      <x:c r="A72" s="1"/>
      <x:c r="B72" s="6"/>
      <x:c r="C72" s="6"/>
      <x:c r="D72" s="6"/>
      <x:c r="E72" s="1"/>
    </x:row>
    <x:row r="73" ht="25" customHeight="1">
      <x:c r="A73" s="1"/>
      <x:c r="B73" s="6"/>
      <x:c r="C73" s="6"/>
      <x:c r="D73" s="6"/>
      <x:c r="E73" s="1"/>
    </x:row>
    <x:row r="74" ht="25" customHeight="1">
      <x:c r="A74" s="1"/>
      <x:c r="B74" s="6"/>
      <x:c r="C74" s="6"/>
      <x:c r="D74" s="6"/>
      <x:c r="E74" s="1"/>
    </x:row>
    <x:row r="75" ht="25" customHeight="1">
      <x:c r="A75" s="1"/>
      <x:c r="B75" s="6"/>
      <x:c r="C75" s="6"/>
      <x:c r="D75" s="6"/>
      <x:c r="E75" s="1"/>
    </x:row>
    <x:row r="76" ht="25" customHeight="1">
      <x:c r="A76" s="1"/>
      <x:c r="B76" s="6"/>
      <x:c r="C76" s="6"/>
      <x:c r="D76" s="6"/>
      <x:c r="E76" s="1"/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1:D1"/>
  </x:mergeCells>
  <x:conditionalFormatting sqref="D4:D29">
    <x:cfRule type="containsText" dxfId="4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85" hidden="0" customWidth="1"/>
    <x:col min="3" max="3" width="55" hidden="0" customWidth="1"/>
    <x:col min="4" max="4" width="19" hidden="0" customWidth="1"/>
    <x:col min="5" max="5" width="52" hidden="0" customWidth="1"/>
  </x:cols>
  <x:sheetData>
    <x:row r="1" ht="32" customHeight="1">
      <x:c r="A1" s="3" t="str">
        <x:v>SOURCE REGISTER • checked 6 September 2026</x:v>
      </x:c>
      <x:c r="B1" s="3"/>
      <x:c r="C1" s="3"/>
      <x:c r="D1" s="3"/>
      <x:c r="E1" s="3"/>
    </x:row>
    <x:row r="2">
      <x:c r="A2" s="1"/>
      <x:c r="B2" s="1"/>
      <x:c r="C2" s="1"/>
      <x:c r="D2" s="1"/>
      <x:c r="E2" s="1"/>
    </x:row>
    <x:row r="3" ht="28" customHeight="1">
      <x:c r="A3" s="5" t="str">
        <x:v>ID</x:v>
      </x:c>
      <x:c r="B3" s="5" t="str">
        <x:v>Source URL / basis</x:v>
      </x:c>
      <x:c r="C3" s="5" t="str">
        <x:v>Interpretation</x:v>
      </x:c>
      <x:c r="D3" s="5"/>
      <x:c r="E3" s="5"/>
    </x:row>
    <x:row r="4" ht="55" customHeight="1">
      <x:c r="A4" s="9" t="str">
        <x:v>Supabase</x:v>
      </x:c>
      <x:c r="B4" s="11" t="str">
        <x:v>https://supabase.com/pricing</x:v>
      </x:c>
      <x:c r="C4" s="11" t="str">
        <x:v>USD published rates; two Micro project baseline</x:v>
      </x:c>
      <x:c r="D4" s="6"/>
      <x:c r="E4" s="1"/>
    </x:row>
    <x:row r="5" ht="55" customHeight="1">
      <x:c r="A5" s="9" t="str">
        <x:v>Vercel</x:v>
      </x:c>
      <x:c r="B5" s="11" t="str">
        <x:v>https://vercel.com/pricing</x:v>
      </x:c>
      <x:c r="C5" s="11" t="str">
        <x:v>Pro base; usage and more seats extra</x:v>
      </x:c>
      <x:c r="D5" s="6"/>
      <x:c r="E5" s="1"/>
    </x:row>
    <x:row r="6" ht="55" customHeight="1">
      <x:c r="A6" s="9" t="str">
        <x:v>Stripe</x:v>
      </x:c>
      <x:c r="B6" s="11" t="str">
        <x:v>https://stripe.com/au/pricing</x:v>
      </x:c>
      <x:c r="C6" s="11" t="str">
        <x:v>Domestic processing; international/FX excluded</x:v>
      </x:c>
      <x:c r="D6" s="6"/>
      <x:c r="E6" s="1"/>
    </x:row>
    <x:row r="7" ht="55" customHeight="1">
      <x:c r="A7" s="9" t="str">
        <x:v>Stripe Billing</x:v>
      </x:c>
      <x:c r="B7" s="11" t="str">
        <x:v>https://stripe.com/au/billing/pricing</x:v>
      </x:c>
      <x:c r="C7" s="11" t="str">
        <x:v>Additional billing fee</x:v>
      </x:c>
      <x:c r="D7" s="6"/>
      <x:c r="E7" s="1"/>
    </x:row>
    <x:row r="8" ht="55" customHeight="1">
      <x:c r="A8" s="9" t="str">
        <x:v>RevenueCat</x:v>
      </x:c>
      <x:c r="B8" s="11" t="str">
        <x:v>https://www.revenuecat.com/docs/welcome/set-up-revenuecat/account-management</x:v>
      </x:c>
      <x:c r="C8" s="11" t="str">
        <x:v>MTR threshold and whole-revenue fee; proxy requires reconciliation</x:v>
      </x:c>
      <x:c r="D8" s="6"/>
      <x:c r="E8" s="1"/>
    </x:row>
    <x:row r="9" ht="55" customHeight="1">
      <x:c r="A9" s="9" t="str">
        <x:v>Stores</x:v>
      </x:c>
      <x:c r="B9" s="11" t="str">
        <x:v>https://developer.apple.com/app-store/small-business-program/</x:v>
      </x:c>
      <x:c r="C9" s="11" t="str">
        <x:v>Apple 15% depends on eligibility/enrollment</x:v>
      </x:c>
      <x:c r="D9" s="6"/>
      <x:c r="E9" s="1"/>
    </x:row>
    <x:row r="10" ht="55" customHeight="1">
      <x:c r="A10" s="9" t="str">
        <x:v>Google</x:v>
      </x:c>
      <x:c r="B10" s="11" t="str">
        <x:v>https://support.google.com/googleplay/android-developer/answer/112622?hl=en</x:v>
      </x:c>
      <x:c r="C10" s="11" t="str">
        <x:v>Auto-renew subscription fee</x:v>
      </x:c>
      <x:c r="D10" s="6"/>
      <x:c r="E10" s="1"/>
    </x:row>
    <x:row r="11" ht="55" customHeight="1">
      <x:c r="A11" s="9" t="str">
        <x:v>ATO</x:v>
      </x:c>
      <x:c r="B11" s="11" t="str">
        <x:v>https://www.ato.gov.au/businesses-and-organisations/international-tax-for-business/gst-for-non-resident-businesses/how-australian-gst-works</x:v>
      </x:c>
      <x:c r="C11" s="11" t="str">
        <x:v>10% general GST assumption; actual business treatment needs advice</x:v>
      </x:c>
      <x:c r="D11" s="6"/>
      <x:c r="E11" s="1"/>
    </x:row>
    <x:row r="12" ht="55" customHeight="1">
      <x:c r="A12" s="9" t="str">
        <x:v>Backup</x:v>
      </x:c>
      <x:c r="B12" s="11" t="str">
        <x:v>https://aws.amazon.com/s3/pricing/</x:v>
      </x:c>
      <x:c r="C12" s="11" t="str">
        <x:v>Workbook .03 is an assumption, not a quoted Australia rate</x:v>
      </x:c>
      <x:c r="D12" s="6"/>
      <x:c r="E12" s="1"/>
    </x:row>
    <x:row r="13" ht="55" customHeight="1">
      <x:c r="A13" s="9" t="str">
        <x:v>Recovery</x:v>
      </x:c>
      <x:c r="B13" s="11" t="str">
        <x:v>https://supabase.com/docs/guides/platform/backups</x:v>
      </x:c>
      <x:c r="C13" s="11" t="str">
        <x:v>Database backups exclude object contents</x:v>
      </x:c>
      <x:c r="D13" s="6"/>
      <x:c r="E13" s="1"/>
    </x:row>
    <x:row r="14" ht="55" customHeight="1">
      <x:c r="A14" s="9" t="str">
        <x:v>Assumption</x:v>
      </x:c>
      <x:c r="B14" s="11" t="str">
        <x:v>Original planning input</x:v>
      </x:c>
      <x:c r="C14" s="11" t="str">
        <x:v>Adjust after pilot/vendor quote; not researched fact</x:v>
      </x:c>
      <x:c r="D14" s="6"/>
      <x:c r="E14" s="1"/>
    </x:row>
    <x:row r="15" ht="55" customHeight="1">
      <x:c r="A15" s="9" t="str">
        <x:v>Proposal</x:v>
      </x:c>
      <x:c r="B15" s="11" t="str">
        <x:v>Original commercial proposal</x:v>
      </x:c>
      <x:c r="C15" s="11" t="str">
        <x:v>Not approved/published product pricing</x:v>
      </x:c>
      <x:c r="D15" s="6"/>
      <x:c r="E15" s="1"/>
    </x:row>
    <x:row r="16" ht="55" customHeight="1">
      <x:c r="A16" s="9" t="str">
        <x:v>Estimate</x:v>
      </x:c>
      <x:c r="B16" s="11" t="str">
        <x:v>Original effort estimate</x:v>
      </x:c>
      <x:c r="C16" s="11" t="str">
        <x:v>Not a commitment, quote or schedule</x:v>
      </x:c>
      <x:c r="D16" s="6"/>
      <x:c r="E16" s="1"/>
    </x:row>
    <x:row r="17" ht="25" customHeight="1">
      <x:c r="A17" s="1"/>
      <x:c r="B17" s="6"/>
      <x:c r="C17" s="6"/>
      <x:c r="D17" s="6"/>
      <x:c r="E17" s="1"/>
    </x:row>
    <x:row r="18" ht="25" customHeight="1">
      <x:c r="A18" s="1"/>
      <x:c r="B18" s="6"/>
      <x:c r="C18" s="6"/>
      <x:c r="D18" s="6"/>
      <x:c r="E18" s="1"/>
    </x:row>
    <x:row r="19" ht="25" customHeight="1">
      <x:c r="A19" s="1"/>
      <x:c r="B19" s="6"/>
      <x:c r="C19" s="6"/>
      <x:c r="D19" s="6"/>
      <x:c r="E19" s="1"/>
    </x:row>
    <x:row r="20" ht="25" customHeight="1">
      <x:c r="A20" s="1"/>
      <x:c r="B20" s="6"/>
      <x:c r="C20" s="6"/>
      <x:c r="D20" s="6"/>
      <x:c r="E20" s="1"/>
    </x:row>
    <x:row r="21" ht="25" customHeight="1">
      <x:c r="A21" s="1"/>
      <x:c r="B21" s="6"/>
      <x:c r="C21" s="6"/>
      <x:c r="D21" s="6"/>
      <x:c r="E21" s="1"/>
    </x:row>
    <x:row r="22" ht="25" customHeight="1">
      <x:c r="A22" s="1"/>
      <x:c r="B22" s="6"/>
      <x:c r="C22" s="6"/>
      <x:c r="D22" s="6"/>
      <x:c r="E22" s="1"/>
    </x:row>
    <x:row r="23" ht="25" customHeight="1">
      <x:c r="A23" s="1"/>
      <x:c r="B23" s="6"/>
      <x:c r="C23" s="6"/>
      <x:c r="D23" s="6"/>
      <x:c r="E23" s="1"/>
    </x:row>
    <x:row r="24" ht="25" customHeight="1">
      <x:c r="A24" s="1"/>
      <x:c r="B24" s="6"/>
      <x:c r="C24" s="6"/>
      <x:c r="D24" s="6"/>
      <x:c r="E24" s="1"/>
    </x:row>
    <x:row r="25" ht="25" customHeight="1">
      <x:c r="A25" s="1"/>
      <x:c r="B25" s="6"/>
      <x:c r="C25" s="6"/>
      <x:c r="D25" s="6"/>
      <x:c r="E25" s="1"/>
    </x:row>
    <x:row r="26" ht="25" customHeight="1">
      <x:c r="A26" s="1"/>
      <x:c r="B26" s="6"/>
      <x:c r="C26" s="6"/>
      <x:c r="D26" s="6"/>
      <x:c r="E26" s="1"/>
    </x:row>
    <x:row r="27" ht="25" customHeight="1">
      <x:c r="A27" s="1"/>
      <x:c r="B27" s="6"/>
      <x:c r="C27" s="6"/>
      <x:c r="D27" s="6"/>
      <x:c r="E27" s="1"/>
    </x:row>
    <x:row r="28" ht="25" customHeight="1">
      <x:c r="A28" s="1"/>
      <x:c r="B28" s="6"/>
      <x:c r="C28" s="6"/>
      <x:c r="D28" s="6"/>
      <x:c r="E28" s="1"/>
    </x:row>
    <x:row r="29" ht="25" customHeight="1">
      <x:c r="A29" s="1"/>
      <x:c r="B29" s="6"/>
      <x:c r="C29" s="6"/>
      <x:c r="D29" s="6"/>
      <x:c r="E29" s="1"/>
    </x:row>
    <x:row r="30" ht="25" customHeight="1">
      <x:c r="A30" s="1"/>
      <x:c r="B30" s="6"/>
      <x:c r="C30" s="6"/>
      <x:c r="D30" s="6"/>
      <x:c r="E30" s="1"/>
    </x:row>
    <x:row r="31" ht="25" customHeight="1">
      <x:c r="A31" s="1"/>
      <x:c r="B31" s="6"/>
      <x:c r="C31" s="6"/>
      <x:c r="D31" s="6"/>
      <x:c r="E31" s="1"/>
    </x:row>
    <x:row r="32" ht="25" customHeight="1">
      <x:c r="A32" s="1"/>
      <x:c r="B32" s="6"/>
      <x:c r="C32" s="6"/>
      <x:c r="D32" s="6"/>
      <x:c r="E32" s="1"/>
    </x:row>
    <x:row r="33" ht="25" customHeight="1">
      <x:c r="A33" s="1"/>
      <x:c r="B33" s="6"/>
      <x:c r="C33" s="6"/>
      <x:c r="D33" s="6"/>
      <x:c r="E33" s="1"/>
    </x:row>
    <x:row r="34" ht="25" customHeight="1">
      <x:c r="A34" s="1"/>
      <x:c r="B34" s="6"/>
      <x:c r="C34" s="6"/>
      <x:c r="D34" s="6"/>
      <x:c r="E34" s="1"/>
    </x:row>
    <x:row r="35" ht="25" customHeight="1">
      <x:c r="A35" s="1"/>
      <x:c r="B35" s="6"/>
      <x:c r="C35" s="6"/>
      <x:c r="D35" s="6"/>
      <x:c r="E35" s="1"/>
    </x:row>
    <x:row r="36" ht="25" customHeight="1">
      <x:c r="A36" s="1"/>
      <x:c r="B36" s="6"/>
      <x:c r="C36" s="6"/>
      <x:c r="D36" s="6"/>
      <x:c r="E36" s="1"/>
    </x:row>
    <x:row r="37" ht="25" customHeight="1">
      <x:c r="A37" s="1"/>
      <x:c r="B37" s="6"/>
      <x:c r="C37" s="6"/>
      <x:c r="D37" s="6"/>
      <x:c r="E37" s="1"/>
    </x:row>
    <x:row r="38" ht="25" customHeight="1">
      <x:c r="A38" s="1"/>
      <x:c r="B38" s="6"/>
      <x:c r="C38" s="6"/>
      <x:c r="D38" s="6"/>
      <x:c r="E38" s="1"/>
    </x:row>
    <x:row r="39" ht="25" customHeight="1">
      <x:c r="A39" s="1"/>
      <x:c r="B39" s="6"/>
      <x:c r="C39" s="6"/>
      <x:c r="D39" s="6"/>
      <x:c r="E39" s="1"/>
    </x:row>
    <x:row r="40" ht="25" customHeight="1">
      <x:c r="A40" s="1"/>
      <x:c r="B40" s="6"/>
      <x:c r="C40" s="6"/>
      <x:c r="D40" s="6"/>
      <x:c r="E40" s="1"/>
    </x:row>
    <x:row r="41" ht="25" customHeight="1">
      <x:c r="A41" s="1"/>
      <x:c r="B41" s="6"/>
      <x:c r="C41" s="6"/>
      <x:c r="D41" s="6"/>
      <x:c r="E41" s="1"/>
    </x:row>
    <x:row r="42" ht="25" customHeight="1">
      <x:c r="A42" s="1"/>
      <x:c r="B42" s="6"/>
      <x:c r="C42" s="6"/>
      <x:c r="D42" s="6"/>
      <x:c r="E42" s="1"/>
    </x:row>
    <x:row r="43" ht="25" customHeight="1">
      <x:c r="A43" s="1"/>
      <x:c r="B43" s="6"/>
      <x:c r="C43" s="6"/>
      <x:c r="D43" s="6"/>
      <x:c r="E43" s="1"/>
    </x:row>
    <x:row r="44" ht="25" customHeight="1">
      <x:c r="A44" s="1"/>
      <x:c r="B44" s="6"/>
      <x:c r="C44" s="6"/>
      <x:c r="D44" s="6"/>
      <x:c r="E44" s="1"/>
    </x:row>
    <x:row r="45" ht="25" customHeight="1">
      <x:c r="A45" s="1"/>
      <x:c r="B45" s="6"/>
      <x:c r="C45" s="6"/>
      <x:c r="D45" s="6"/>
      <x:c r="E45" s="1"/>
    </x:row>
    <x:row r="46" ht="25" customHeight="1">
      <x:c r="A46" s="1"/>
      <x:c r="B46" s="6"/>
      <x:c r="C46" s="6"/>
      <x:c r="D46" s="6"/>
      <x:c r="E46" s="1"/>
    </x:row>
    <x:row r="47" ht="25" customHeight="1">
      <x:c r="A47" s="1"/>
      <x:c r="B47" s="6"/>
      <x:c r="C47" s="6"/>
      <x:c r="D47" s="6"/>
      <x:c r="E47" s="1"/>
    </x:row>
    <x:row r="48" ht="25" customHeight="1">
      <x:c r="A48" s="1"/>
      <x:c r="B48" s="6"/>
      <x:c r="C48" s="6"/>
      <x:c r="D48" s="6"/>
      <x:c r="E48" s="1"/>
    </x:row>
    <x:row r="49" ht="25" customHeight="1">
      <x:c r="A49" s="1"/>
      <x:c r="B49" s="6"/>
      <x:c r="C49" s="6"/>
      <x:c r="D49" s="6"/>
      <x:c r="E49" s="1"/>
    </x:row>
    <x:row r="50" ht="25" customHeight="1">
      <x:c r="A50" s="1"/>
      <x:c r="B50" s="6"/>
      <x:c r="C50" s="6"/>
      <x:c r="D50" s="6"/>
      <x:c r="E50" s="1"/>
    </x:row>
    <x:row r="51" ht="25" customHeight="1">
      <x:c r="A51" s="1"/>
      <x:c r="B51" s="6"/>
      <x:c r="C51" s="6"/>
      <x:c r="D51" s="6"/>
      <x:c r="E51" s="1"/>
    </x:row>
    <x:row r="52" ht="25" customHeight="1">
      <x:c r="A52" s="1"/>
      <x:c r="B52" s="6"/>
      <x:c r="C52" s="6"/>
      <x:c r="D52" s="6"/>
      <x:c r="E52" s="1"/>
    </x:row>
    <x:row r="53" ht="25" customHeight="1">
      <x:c r="A53" s="1"/>
      <x:c r="B53" s="6"/>
      <x:c r="C53" s="6"/>
      <x:c r="D53" s="6"/>
      <x:c r="E53" s="1"/>
    </x:row>
    <x:row r="54" ht="25" customHeight="1">
      <x:c r="A54" s="1"/>
      <x:c r="B54" s="6"/>
      <x:c r="C54" s="6"/>
      <x:c r="D54" s="6"/>
      <x:c r="E54" s="1"/>
    </x:row>
    <x:row r="55" ht="25" customHeight="1">
      <x:c r="A55" s="1"/>
      <x:c r="B55" s="6"/>
      <x:c r="C55" s="6"/>
      <x:c r="D55" s="6"/>
      <x:c r="E55" s="1"/>
    </x:row>
    <x:row r="56" ht="25" customHeight="1">
      <x:c r="A56" s="1"/>
      <x:c r="B56" s="6"/>
      <x:c r="C56" s="6"/>
      <x:c r="D56" s="6"/>
      <x:c r="E56" s="1"/>
    </x:row>
    <x:row r="57" ht="25" customHeight="1">
      <x:c r="A57" s="1"/>
      <x:c r="B57" s="6"/>
      <x:c r="C57" s="6"/>
      <x:c r="D57" s="6"/>
      <x:c r="E57" s="1"/>
    </x:row>
    <x:row r="58" ht="25" customHeight="1">
      <x:c r="A58" s="1"/>
      <x:c r="B58" s="6"/>
      <x:c r="C58" s="6"/>
      <x:c r="D58" s="6"/>
      <x:c r="E58" s="1"/>
    </x:row>
    <x:row r="59" ht="25" customHeight="1">
      <x:c r="A59" s="1"/>
      <x:c r="B59" s="6"/>
      <x:c r="C59" s="6"/>
      <x:c r="D59" s="6"/>
      <x:c r="E59" s="1"/>
    </x:row>
    <x:row r="60" ht="25" customHeight="1">
      <x:c r="A60" s="1"/>
      <x:c r="B60" s="6"/>
      <x:c r="C60" s="6"/>
      <x:c r="D60" s="6"/>
      <x:c r="E60" s="1"/>
    </x:row>
    <x:row r="61" ht="25" customHeight="1">
      <x:c r="A61" s="1"/>
      <x:c r="B61" s="6"/>
      <x:c r="C61" s="6"/>
      <x:c r="D61" s="6"/>
      <x:c r="E61" s="1"/>
    </x:row>
    <x:row r="62" ht="25" customHeight="1">
      <x:c r="A62" s="1"/>
      <x:c r="B62" s="6"/>
      <x:c r="C62" s="6"/>
      <x:c r="D62" s="6"/>
      <x:c r="E62" s="1"/>
    </x:row>
    <x:row r="63" ht="25" customHeight="1">
      <x:c r="A63" s="1"/>
      <x:c r="B63" s="6"/>
      <x:c r="C63" s="6"/>
      <x:c r="D63" s="6"/>
      <x:c r="E63" s="1"/>
    </x:row>
    <x:row r="64" ht="25" customHeight="1">
      <x:c r="A64" s="1"/>
      <x:c r="B64" s="6"/>
      <x:c r="C64" s="6"/>
      <x:c r="D64" s="6"/>
      <x:c r="E64" s="1"/>
    </x:row>
    <x:row r="65" ht="25" customHeight="1">
      <x:c r="A65" s="1"/>
      <x:c r="B65" s="6"/>
      <x:c r="C65" s="6"/>
      <x:c r="D65" s="6"/>
      <x:c r="E65" s="1"/>
    </x:row>
    <x:row r="66" ht="25" customHeight="1">
      <x:c r="A66" s="1"/>
      <x:c r="B66" s="6"/>
      <x:c r="C66" s="6"/>
      <x:c r="D66" s="6"/>
      <x:c r="E66" s="1"/>
    </x:row>
    <x:row r="67" ht="25" customHeight="1">
      <x:c r="A67" s="1"/>
      <x:c r="B67" s="6"/>
      <x:c r="C67" s="6"/>
      <x:c r="D67" s="6"/>
      <x:c r="E67" s="1"/>
    </x:row>
    <x:row r="68" ht="25" customHeight="1">
      <x:c r="A68" s="1"/>
      <x:c r="B68" s="6"/>
      <x:c r="C68" s="6"/>
      <x:c r="D68" s="6"/>
      <x:c r="E68" s="1"/>
    </x:row>
    <x:row r="69" ht="25" customHeight="1">
      <x:c r="A69" s="1"/>
      <x:c r="B69" s="6"/>
      <x:c r="C69" s="6"/>
      <x:c r="D69" s="6"/>
      <x:c r="E69" s="1"/>
    </x:row>
    <x:row r="70" ht="25" customHeight="1">
      <x:c r="A70" s="1"/>
      <x:c r="B70" s="6"/>
      <x:c r="C70" s="6"/>
      <x:c r="D70" s="6"/>
      <x:c r="E70" s="1"/>
    </x:row>
    <x:row r="71" ht="25" customHeight="1">
      <x:c r="A71" s="1"/>
      <x:c r="B71" s="6"/>
      <x:c r="C71" s="6"/>
      <x:c r="D71" s="6"/>
      <x:c r="E71" s="1"/>
    </x:row>
    <x:row r="72" ht="25" customHeight="1">
      <x:c r="A72" s="1"/>
      <x:c r="B72" s="6"/>
      <x:c r="C72" s="6"/>
      <x:c r="D72" s="6"/>
      <x:c r="E72" s="1"/>
    </x:row>
    <x:row r="73" ht="25" customHeight="1">
      <x:c r="A73" s="1"/>
      <x:c r="B73" s="6"/>
      <x:c r="C73" s="6"/>
      <x:c r="D73" s="6"/>
      <x:c r="E73" s="1"/>
    </x:row>
    <x:row r="74" ht="25" customHeight="1">
      <x:c r="A74" s="1"/>
      <x:c r="B74" s="6"/>
      <x:c r="C74" s="6"/>
      <x:c r="D74" s="6"/>
      <x:c r="E74" s="1"/>
    </x:row>
    <x:row r="75" ht="25" customHeight="1">
      <x:c r="A75" s="1"/>
      <x:c r="B75" s="6"/>
      <x:c r="C75" s="6"/>
      <x:c r="D75" s="6"/>
      <x:c r="E75" s="1"/>
    </x:row>
    <x:row r="76" ht="25" customHeight="1">
      <x:c r="A76" s="1"/>
      <x:c r="B76" s="6"/>
      <x:c r="C76" s="6"/>
      <x:c r="D76" s="6"/>
      <x:c r="E76" s="1"/>
    </x:row>
    <x:row r="77" ht="25" customHeight="1">
      <x:c r="A77" s="1"/>
      <x:c r="B77" s="6"/>
      <x:c r="C77" s="6"/>
      <x:c r="D77" s="6"/>
      <x:c r="E77" s="1"/>
    </x:row>
    <x:row r="78" ht="25" customHeight="1">
      <x:c r="A78" s="1"/>
      <x:c r="B78" s="6"/>
      <x:c r="C78" s="6"/>
      <x:c r="D78" s="6"/>
      <x:c r="E78" s="1"/>
    </x:row>
    <x:row r="79" ht="25" customHeight="1">
      <x:c r="A79" s="1"/>
      <x:c r="B79" s="6"/>
      <x:c r="C79" s="6"/>
      <x:c r="D79" s="6"/>
      <x:c r="E79" s="1"/>
    </x:row>
    <x:row r="80" ht="25" customHeight="1">
      <x:c r="A80" s="1"/>
      <x:c r="B80" s="6"/>
      <x:c r="C80" s="6"/>
      <x:c r="D80" s="6"/>
      <x:c r="E80" s="1"/>
    </x:row>
  </x:sheetData>
  <x:mergeCells>
    <x:mergeCell ref="A1:C1"/>
  </x:mergeCells>
  <x:pageMargins left="0.7" right="0.7" top="0.75" bottom="0.75" header="0.3" footer="0.3"/>
</x:worksheet>
</file>